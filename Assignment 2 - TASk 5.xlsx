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2 -ENTRI/"/>
    </mc:Choice>
  </mc:AlternateContent>
  <xr:revisionPtr revIDLastSave="87" documentId="8_{6742E35F-3E64-461E-B581-7D4011D6D317}" xr6:coauthVersionLast="47" xr6:coauthVersionMax="47" xr10:uidLastSave="{12E48D94-08D3-4084-B6AB-06092A23703E}"/>
  <bookViews>
    <workbookView xWindow="-108" yWindow="-108" windowWidth="23256" windowHeight="12456" xr2:uid="{72BC446B-1BCA-4C1A-B861-0F13DFC5A3B8}"/>
  </bookViews>
  <sheets>
    <sheet name="Sheet1" sheetId="1" r:id="rId1"/>
  </sheets>
  <definedNames>
    <definedName name="_xlnm.Print_Area" localSheetId="0">Sheet1!$A$1:$O$32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O14" i="1"/>
  <c r="O18" i="1"/>
  <c r="O22" i="1"/>
  <c r="O26" i="1"/>
  <c r="N21" i="1"/>
  <c r="N24" i="1"/>
  <c r="M32" i="1"/>
  <c r="L32" i="1"/>
  <c r="O32" i="1" s="1"/>
  <c r="K32" i="1"/>
  <c r="J32" i="1"/>
  <c r="N32" i="1" s="1"/>
  <c r="I32" i="1"/>
  <c r="M31" i="1"/>
  <c r="L31" i="1"/>
  <c r="O31" i="1" s="1"/>
  <c r="K31" i="1"/>
  <c r="J31" i="1"/>
  <c r="N31" i="1" s="1"/>
  <c r="I31" i="1"/>
  <c r="M30" i="1"/>
  <c r="L30" i="1"/>
  <c r="O30" i="1" s="1"/>
  <c r="K30" i="1"/>
  <c r="J30" i="1"/>
  <c r="N30" i="1" s="1"/>
  <c r="I30" i="1"/>
  <c r="M29" i="1"/>
  <c r="L29" i="1"/>
  <c r="O29" i="1" s="1"/>
  <c r="K29" i="1"/>
  <c r="J29" i="1"/>
  <c r="N29" i="1" s="1"/>
  <c r="I29" i="1"/>
  <c r="M28" i="1"/>
  <c r="L28" i="1"/>
  <c r="O28" i="1" s="1"/>
  <c r="K28" i="1"/>
  <c r="J28" i="1"/>
  <c r="N28" i="1" s="1"/>
  <c r="I28" i="1"/>
  <c r="M27" i="1"/>
  <c r="L27" i="1"/>
  <c r="O27" i="1" s="1"/>
  <c r="K27" i="1"/>
  <c r="J27" i="1"/>
  <c r="N27" i="1" s="1"/>
  <c r="I27" i="1"/>
  <c r="M26" i="1"/>
  <c r="L26" i="1"/>
  <c r="K26" i="1"/>
  <c r="J26" i="1"/>
  <c r="N26" i="1" s="1"/>
  <c r="I26" i="1"/>
  <c r="M25" i="1"/>
  <c r="L25" i="1"/>
  <c r="O25" i="1" s="1"/>
  <c r="K25" i="1"/>
  <c r="J25" i="1"/>
  <c r="N25" i="1" s="1"/>
  <c r="I25" i="1"/>
  <c r="M24" i="1"/>
  <c r="L24" i="1"/>
  <c r="O24" i="1" s="1"/>
  <c r="K24" i="1"/>
  <c r="J24" i="1"/>
  <c r="I24" i="1"/>
  <c r="M23" i="1"/>
  <c r="L23" i="1"/>
  <c r="O23" i="1" s="1"/>
  <c r="K23" i="1"/>
  <c r="J23" i="1"/>
  <c r="N23" i="1" s="1"/>
  <c r="I23" i="1"/>
  <c r="M22" i="1"/>
  <c r="L22" i="1"/>
  <c r="K22" i="1"/>
  <c r="J22" i="1"/>
  <c r="N22" i="1" s="1"/>
  <c r="I22" i="1"/>
  <c r="M21" i="1"/>
  <c r="L21" i="1"/>
  <c r="O21" i="1" s="1"/>
  <c r="K21" i="1"/>
  <c r="J21" i="1"/>
  <c r="I21" i="1"/>
  <c r="M20" i="1"/>
  <c r="L20" i="1"/>
  <c r="O20" i="1" s="1"/>
  <c r="K20" i="1"/>
  <c r="J20" i="1"/>
  <c r="N20" i="1" s="1"/>
  <c r="I20" i="1"/>
  <c r="M19" i="1"/>
  <c r="L19" i="1"/>
  <c r="O19" i="1" s="1"/>
  <c r="K19" i="1"/>
  <c r="J19" i="1"/>
  <c r="N19" i="1" s="1"/>
  <c r="I19" i="1"/>
  <c r="M18" i="1"/>
  <c r="L18" i="1"/>
  <c r="K18" i="1"/>
  <c r="J18" i="1"/>
  <c r="N18" i="1" s="1"/>
  <c r="I18" i="1"/>
  <c r="M17" i="1"/>
  <c r="L17" i="1"/>
  <c r="O17" i="1" s="1"/>
  <c r="K17" i="1"/>
  <c r="J17" i="1"/>
  <c r="N17" i="1" s="1"/>
  <c r="I17" i="1"/>
  <c r="M16" i="1"/>
  <c r="L16" i="1"/>
  <c r="O16" i="1" s="1"/>
  <c r="K16" i="1"/>
  <c r="J16" i="1"/>
  <c r="N16" i="1" s="1"/>
  <c r="I16" i="1"/>
  <c r="M15" i="1"/>
  <c r="L15" i="1"/>
  <c r="O15" i="1" s="1"/>
  <c r="K15" i="1"/>
  <c r="J15" i="1"/>
  <c r="N15" i="1" s="1"/>
  <c r="I15" i="1"/>
  <c r="M14" i="1"/>
  <c r="L14" i="1"/>
  <c r="K14" i="1"/>
  <c r="J14" i="1"/>
  <c r="N14" i="1" s="1"/>
  <c r="I14" i="1"/>
  <c r="M13" i="1"/>
  <c r="L13" i="1"/>
  <c r="O13" i="1" s="1"/>
  <c r="K13" i="1"/>
  <c r="J13" i="1"/>
  <c r="N13" i="1" s="1"/>
  <c r="I13" i="1"/>
  <c r="M12" i="1"/>
  <c r="L12" i="1"/>
  <c r="O12" i="1" s="1"/>
  <c r="K12" i="1"/>
  <c r="J12" i="1"/>
  <c r="N12" i="1" s="1"/>
  <c r="I12" i="1"/>
  <c r="M11" i="1"/>
  <c r="L11" i="1"/>
  <c r="O11" i="1" s="1"/>
  <c r="K11" i="1"/>
  <c r="J11" i="1"/>
  <c r="N11" i="1" s="1"/>
  <c r="I11" i="1"/>
  <c r="M10" i="1"/>
  <c r="L10" i="1"/>
  <c r="K10" i="1"/>
  <c r="J10" i="1"/>
  <c r="N10" i="1" s="1"/>
  <c r="I10" i="1"/>
  <c r="M9" i="1"/>
  <c r="L9" i="1"/>
  <c r="O9" i="1" s="1"/>
  <c r="K9" i="1"/>
  <c r="J9" i="1"/>
  <c r="N9" i="1" s="1"/>
  <c r="I9" i="1"/>
  <c r="M8" i="1"/>
  <c r="L8" i="1"/>
  <c r="O8" i="1" s="1"/>
  <c r="K8" i="1"/>
  <c r="J8" i="1"/>
  <c r="N8" i="1" s="1"/>
  <c r="I8" i="1"/>
  <c r="M7" i="1"/>
  <c r="L7" i="1"/>
  <c r="O7" i="1" s="1"/>
  <c r="K7" i="1"/>
  <c r="J7" i="1"/>
  <c r="N7" i="1" s="1"/>
  <c r="I7" i="1"/>
  <c r="M6" i="1"/>
  <c r="L6" i="1"/>
  <c r="O6" i="1" s="1"/>
  <c r="K6" i="1"/>
  <c r="J6" i="1"/>
  <c r="N6" i="1" s="1"/>
  <c r="I6" i="1"/>
  <c r="M5" i="1"/>
  <c r="L5" i="1"/>
  <c r="O5" i="1" s="1"/>
  <c r="K5" i="1"/>
  <c r="J5" i="1"/>
  <c r="N5" i="1" s="1"/>
  <c r="I5" i="1"/>
  <c r="M4" i="1"/>
  <c r="L4" i="1"/>
  <c r="O4" i="1" s="1"/>
  <c r="K4" i="1"/>
  <c r="J4" i="1"/>
  <c r="N4" i="1" s="1"/>
  <c r="I4" i="1"/>
  <c r="M3" i="1"/>
  <c r="L3" i="1"/>
  <c r="O3" i="1" s="1"/>
  <c r="K3" i="1"/>
  <c r="J3" i="1"/>
  <c r="N3" i="1" s="1"/>
  <c r="I3" i="1"/>
  <c r="M2" i="1"/>
  <c r="L2" i="1"/>
  <c r="O2" i="1" s="1"/>
  <c r="K2" i="1"/>
  <c r="J2" i="1"/>
  <c r="N2" i="1" s="1"/>
  <c r="I2" i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<sst xmlns="http://schemas.openxmlformats.org/spreadsheetml/2006/main" count="166" uniqueCount="94">
  <si>
    <t>Product ID</t>
  </si>
  <si>
    <t>Product Name</t>
  </si>
  <si>
    <t>Brand Name</t>
  </si>
  <si>
    <t>Price ($)</t>
  </si>
  <si>
    <t>Quantity</t>
  </si>
  <si>
    <t>Category</t>
  </si>
  <si>
    <t>Blank Status</t>
  </si>
  <si>
    <t>Manufacturing date</t>
  </si>
  <si>
    <t>Country Code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</si>
  <si>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</si>
  <si>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</si>
  <si>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</si>
  <si>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</si>
  <si>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</si>
  <si>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</si>
  <si>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</si>
  <si>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</si>
  <si>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</si>
  <si>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</si>
  <si>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</si>
  <si>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</si>
  <si>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</si>
  <si>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</si>
  <si>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</si>
  <si>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</si>
  <si>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</si>
  <si>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</si>
  <si>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</si>
  <si>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</si>
  <si>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</si>
  <si>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</si>
  <si>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</si>
  <si>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</si>
  <si>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</si>
  <si>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</si>
  <si>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</si>
  <si>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</si>
  <si>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</si>
  <si>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</si>
  <si>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</si>
  <si>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</si>
  <si>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</si>
  <si>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</si>
  <si>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</si>
  <si>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</si>
  <si>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</si>
  <si>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</si>
  <si>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</si>
  <si>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</si>
  <si>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</si>
  <si>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</si>
  <si>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</si>
  <si>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</si>
  <si>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</si>
  <si>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</si>
  <si>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</si>
  <si>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</si>
  <si>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</si>
  <si>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</si>
  <si>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</si>
  <si>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</si>
  <si>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</si>
  <si>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</si>
  <si>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</si>
  <si>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</si>
  <si>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</si>
  <si>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</si>
  <si>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</si>
  <si>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</si>
  <si>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</si>
  <si>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</si>
  <si>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</si>
  <si>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</si>
  <si>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</si>
  <si>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</si>
  <si>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</si>
  <si>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</si>
  <si>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</si>
  <si>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03-JUN-CA</t>
  </si>
  <si>
    <t>Google</t>
  </si>
  <si>
    <t>11-JUL-CA</t>
  </si>
  <si>
    <t>Ray-Ban</t>
  </si>
  <si>
    <t>07-MAR-CA</t>
  </si>
  <si>
    <t>Vitamix</t>
  </si>
  <si>
    <t>13-APR-CA</t>
  </si>
  <si>
    <t>24-MAY-CA</t>
  </si>
  <si>
    <t>Dress</t>
  </si>
  <si>
    <t>Zara</t>
  </si>
  <si>
    <t>02-DEC-CA</t>
  </si>
  <si>
    <t>Toaster</t>
  </si>
  <si>
    <t>Hamilton</t>
  </si>
  <si>
    <t>09-JUL-FR</t>
  </si>
  <si>
    <t>Garmin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</si>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</sst>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853B-4F31-44D3-9371-94D7CD5D60EB}">
  <dimension ref="A1:O35"/>
  <sheetViews>
    <sheetView tabSelected="1" view="pageBreakPreview" topLeftCell="C1" zoomScale="60" zoomScaleNormal="100" workbookViewId="0">
      <selection activeCell="C1" sqref="C1:O32"/>
    </sheetView>
  </sheetViews>
  <sheetFormatPr defaultRowHeight="14.4" x14ac:dyDescent="0.3"/>
  <cols>
    <col min="1" max="1" width="12.6640625" customWidth="1"/>
    <col min="2" max="2" width="13.21875" customWidth="1"/>
    <col min="3" max="7" width="12.6640625" customWidth="1"/>
    <col min="8" max="8" width="12.109375" bestFit="1" customWidth="1"/>
    <col min="9" max="9" width="10.44140625" bestFit="1" customWidth="1"/>
    <col min="11" max="11" width="13.6640625" bestFit="1" customWidth="1"/>
    <col min="12" max="12" width="18" bestFit="1" customWidth="1"/>
    <col min="13" max="13" width="13.33203125" bestFit="1" customWidth="1"/>
    <col min="15" max="15" width="18" bestFit="1" customWidth="1"/>
    <col min="16" max="16" width="8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</v>
      </c>
      <c r="H1" s="2" t="s">
        <v>6</v>
      </c>
      <c r="I1" s="2" t="s">
        <v>5</v>
      </c>
      <c r="J1" s="2" t="s">
        <v>4</v>
      </c>
      <c r="K1" s="1" t="s">
        <v>1</v>
      </c>
      <c r="L1" s="1" t="s">
        <v>7</v>
      </c>
      <c r="M1" s="1" t="s">
        <v>8</v>
      </c>
      <c r="N1" s="1" t="s">
        <v>93</v>
      </c>
      <c r="O1" s="1" t="s">
        <v>7</v>
      </c>
    </row>
    <row r="2" spans="1:15" x14ac:dyDescent="0.3">
      <c r="A2" s="3" t="s">
        <v>9</v>
      </c>
      <c r="B2" s="3" t="s">
        <v>10</v>
      </c>
      <c r="C2" s="3" t="s">
        <v>11</v>
      </c>
      <c r="D2" s="3">
        <v>1000</v>
      </c>
      <c r="E2" s="3">
        <v>30</v>
      </c>
      <c r="F2" s="3" t="s">
        <v>12</v>
      </c>
      <c r="G2" s="3" t="s">
        <v>10</v>
      </c>
      <c r="H2" s="4" t="b" cm="1">
        <f t="array" ref="H2:H35">ISBLANK(D2:D35)</f>
        <v>0</v>
      </c>
      <c r="I2" s="6" t="str">
        <f>IF(ISBLANK(F2),"UNKOWN",F2)</f>
        <v>Electronics</v>
      </c>
      <c r="J2" s="6">
        <f>IF(ISBLANK(D2),AVERAGE(D2:D35),D2)</f>
        <v>1000</v>
      </c>
      <c r="K2" s="6" t="str">
        <f>TRIM(G2)</f>
        <v>Laptop</v>
      </c>
      <c r="L2" s="6" t="str">
        <f>LEFT(A2,6)</f>
        <v>28-JAN</v>
      </c>
      <c r="M2" s="6" t="str">
        <f>RIGHT(A2,2)</f>
        <v>US</v>
      </c>
      <c r="N2" s="6" t="str">
        <f t="shared" ref="N2:N32" si="0">TEXT(J2,"₹0")</f>
        <v>₹1000</v>
      </c>
      <c r="O2" s="9" t="str">
        <f>TEXT(L2,"DD-MM-YYYY")</f>
        <v>28-01-2025</v>
      </c>
    </row>
    <row r="3" spans="1:15" x14ac:dyDescent="0.3">
      <c r="A3" s="6" t="s">
        <v>13</v>
      </c>
      <c r="B3" s="6" t="s">
        <v>14</v>
      </c>
      <c r="C3" s="6" t="s">
        <v>15</v>
      </c>
      <c r="D3" s="6">
        <v>80</v>
      </c>
      <c r="E3" s="6">
        <v>15</v>
      </c>
      <c r="F3" s="6" t="s">
        <v>16</v>
      </c>
      <c r="G3" s="6" t="s">
        <v>14</v>
      </c>
      <c r="H3" s="5" t="b">
        <v>0</v>
      </c>
      <c r="I3" s="3" t="str">
        <f t="shared" ref="I3:I30" si="1">IF(ISBLANK(F3),"UNKOWN",F3)</f>
        <v>Fashion</v>
      </c>
      <c r="J3" s="3">
        <f>IF(ISBLANK(D3),AVERAGE($D$2:$D$35),D3)</f>
        <v>80</v>
      </c>
      <c r="K3" s="3" t="str">
        <f t="shared" ref="K3:K32" si="2">TRIM(G3)</f>
        <v>Sneakers</v>
      </c>
      <c r="L3" s="3" t="str">
        <f t="shared" ref="L3:L32" si="3">LEFT(A3,6)</f>
        <v>15-FEB</v>
      </c>
      <c r="M3" s="3" t="str">
        <f t="shared" ref="M3:M32" si="4">RIGHT(A3,2)</f>
        <v>US</v>
      </c>
      <c r="N3" s="3" t="str">
        <f t="shared" si="0"/>
        <v>₹80</v>
      </c>
      <c r="O3" s="9" t="str">
        <f t="shared" ref="O3:O32" si="5">TEXT(L3,"DD-MM-YYYY")</f>
        <v>15-02-2025</v>
      </c>
    </row>
    <row r="4" spans="1:15" x14ac:dyDescent="0.3">
      <c r="A4" s="3" t="s">
        <v>17</v>
      </c>
      <c r="B4" s="3" t="s">
        <v>18</v>
      </c>
      <c r="C4" s="3" t="s">
        <v>19</v>
      </c>
      <c r="D4" s="3">
        <v>130</v>
      </c>
      <c r="E4" s="3">
        <v>40</v>
      </c>
      <c r="F4" s="3" t="s">
        <v>20</v>
      </c>
      <c r="G4" s="3" t="s">
        <v>18</v>
      </c>
      <c r="H4" s="4" t="b">
        <v>0</v>
      </c>
      <c r="I4" s="6" t="str">
        <f t="shared" si="1"/>
        <v>Kitchen</v>
      </c>
      <c r="J4" s="6">
        <f t="shared" ref="J4:J32" si="6">IF(ISBLANK(D4),AVERAGE($D$2:$D$35),D4)</f>
        <v>130</v>
      </c>
      <c r="K4" s="6" t="str">
        <f t="shared" si="2"/>
        <v>Coffee Maker</v>
      </c>
      <c r="L4" s="6" t="str">
        <f t="shared" si="3"/>
        <v>03-MAR</v>
      </c>
      <c r="M4" s="6" t="str">
        <f t="shared" si="4"/>
        <v>US</v>
      </c>
      <c r="N4" s="6" t="str">
        <f t="shared" si="0"/>
        <v>₹130</v>
      </c>
      <c r="O4" s="9" t="str">
        <f t="shared" si="5"/>
        <v>03-03-2025</v>
      </c>
    </row>
    <row r="5" spans="1:15" x14ac:dyDescent="0.3">
      <c r="A5" s="6" t="s">
        <v>21</v>
      </c>
      <c r="B5" s="6" t="s">
        <v>22</v>
      </c>
      <c r="C5" s="6" t="s">
        <v>23</v>
      </c>
      <c r="D5" s="6">
        <v>900</v>
      </c>
      <c r="E5" s="6">
        <v>25</v>
      </c>
      <c r="F5" s="6" t="s">
        <v>12</v>
      </c>
      <c r="G5" s="6" t="s">
        <v>22</v>
      </c>
      <c r="H5" s="5" t="b">
        <v>0</v>
      </c>
      <c r="I5" s="3" t="str">
        <f t="shared" si="1"/>
        <v>Electronics</v>
      </c>
      <c r="J5" s="3">
        <f t="shared" si="6"/>
        <v>900</v>
      </c>
      <c r="K5" s="3" t="str">
        <f t="shared" si="2"/>
        <v>Smartphone</v>
      </c>
      <c r="L5" s="3" t="str">
        <f t="shared" si="3"/>
        <v>11-APR</v>
      </c>
      <c r="M5" s="3" t="str">
        <f t="shared" si="4"/>
        <v>US</v>
      </c>
      <c r="N5" s="3" t="str">
        <f t="shared" si="0"/>
        <v>₹900</v>
      </c>
      <c r="O5" s="9" t="str">
        <f t="shared" si="5"/>
        <v>11-04-2025</v>
      </c>
    </row>
    <row r="6" spans="1:15" x14ac:dyDescent="0.3">
      <c r="A6" s="3" t="s">
        <v>24</v>
      </c>
      <c r="B6" s="3" t="s">
        <v>25</v>
      </c>
      <c r="C6" s="3" t="s">
        <v>26</v>
      </c>
      <c r="D6" s="3">
        <v>70</v>
      </c>
      <c r="E6" s="3">
        <v>20</v>
      </c>
      <c r="F6" s="3"/>
      <c r="G6" s="3" t="s">
        <v>25</v>
      </c>
      <c r="H6" s="4" t="b">
        <v>0</v>
      </c>
      <c r="I6" s="6" t="str">
        <f t="shared" si="1"/>
        <v>UNKOWN</v>
      </c>
      <c r="J6" s="6">
        <f t="shared" si="6"/>
        <v>70</v>
      </c>
      <c r="K6" s="6" t="str">
        <f t="shared" si="2"/>
        <v>Backpack</v>
      </c>
      <c r="L6" s="6" t="str">
        <f t="shared" si="3"/>
        <v>22-MAY</v>
      </c>
      <c r="M6" s="6" t="str">
        <f t="shared" si="4"/>
        <v>US</v>
      </c>
      <c r="N6" s="6" t="str">
        <f t="shared" si="0"/>
        <v>₹70</v>
      </c>
      <c r="O6" s="9" t="str">
        <f t="shared" si="5"/>
        <v>22-05-2025</v>
      </c>
    </row>
    <row r="7" spans="1:15" x14ac:dyDescent="0.3">
      <c r="A7" s="6" t="s">
        <v>27</v>
      </c>
      <c r="B7" s="6" t="s">
        <v>28</v>
      </c>
      <c r="C7" s="6" t="s">
        <v>29</v>
      </c>
      <c r="D7" s="6"/>
      <c r="E7" s="6">
        <v>45</v>
      </c>
      <c r="F7" s="6" t="s">
        <v>30</v>
      </c>
      <c r="G7" s="6" t="s">
        <v>28</v>
      </c>
      <c r="H7" s="5" t="b">
        <v>1</v>
      </c>
      <c r="I7" s="3" t="str">
        <f t="shared" si="1"/>
        <v>Electroni</v>
      </c>
      <c r="J7" s="7">
        <f t="shared" si="6"/>
        <v>303.21428571428572</v>
      </c>
      <c r="K7" s="3" t="str">
        <f t="shared" si="2"/>
        <v>Headphones</v>
      </c>
      <c r="L7" s="3" t="str">
        <f t="shared" si="3"/>
        <v>07-JUN</v>
      </c>
      <c r="M7" s="3" t="str">
        <f t="shared" si="4"/>
        <v>UK</v>
      </c>
      <c r="N7" s="3" t="str">
        <f t="shared" si="0"/>
        <v>₹303</v>
      </c>
      <c r="O7" s="9" t="str">
        <f t="shared" si="5"/>
        <v>07-06-2025</v>
      </c>
    </row>
    <row r="8" spans="1:15" x14ac:dyDescent="0.3">
      <c r="A8" s="3" t="s">
        <v>31</v>
      </c>
      <c r="B8" s="3" t="s">
        <v>32</v>
      </c>
      <c r="C8" s="3" t="s">
        <v>33</v>
      </c>
      <c r="D8" s="3">
        <v>30</v>
      </c>
      <c r="E8" s="3">
        <v>5</v>
      </c>
      <c r="F8" s="3" t="s">
        <v>16</v>
      </c>
      <c r="G8" s="3" t="s">
        <v>32</v>
      </c>
      <c r="H8" s="4" t="b">
        <v>0</v>
      </c>
      <c r="I8" s="6" t="str">
        <f t="shared" si="1"/>
        <v>Fashion</v>
      </c>
      <c r="J8" s="6">
        <f t="shared" si="6"/>
        <v>30</v>
      </c>
      <c r="K8" s="6" t="str">
        <f t="shared" si="2"/>
        <v>T-shirt</v>
      </c>
      <c r="L8" s="6" t="str">
        <f t="shared" si="3"/>
        <v>19-JUL</v>
      </c>
      <c r="M8" s="6" t="str">
        <f t="shared" si="4"/>
        <v>UK</v>
      </c>
      <c r="N8" s="6" t="str">
        <f t="shared" si="0"/>
        <v>₹30</v>
      </c>
      <c r="O8" s="9" t="str">
        <f t="shared" si="5"/>
        <v>19-07-2025</v>
      </c>
    </row>
    <row r="9" spans="1:15" x14ac:dyDescent="0.3">
      <c r="A9" s="6" t="s">
        <v>34</v>
      </c>
      <c r="B9" s="6" t="s">
        <v>35</v>
      </c>
      <c r="C9" s="6" t="s">
        <v>36</v>
      </c>
      <c r="D9" s="6">
        <v>90</v>
      </c>
      <c r="E9" s="6">
        <v>35</v>
      </c>
      <c r="F9" s="6" t="s">
        <v>20</v>
      </c>
      <c r="G9" s="6" t="s">
        <v>35</v>
      </c>
      <c r="H9" s="5" t="b">
        <v>0</v>
      </c>
      <c r="I9" s="3" t="str">
        <f t="shared" si="1"/>
        <v>Kitchen</v>
      </c>
      <c r="J9" s="3">
        <f t="shared" si="6"/>
        <v>90</v>
      </c>
      <c r="K9" s="3" t="str">
        <f t="shared" si="2"/>
        <v>Blender</v>
      </c>
      <c r="L9" s="3" t="str">
        <f t="shared" si="3"/>
        <v>23-AUG</v>
      </c>
      <c r="M9" s="3" t="str">
        <f t="shared" si="4"/>
        <v>UK</v>
      </c>
      <c r="N9" s="3" t="str">
        <f t="shared" si="0"/>
        <v>₹90</v>
      </c>
      <c r="O9" s="9" t="str">
        <f t="shared" si="5"/>
        <v>23-08-2025</v>
      </c>
    </row>
    <row r="10" spans="1:15" x14ac:dyDescent="0.3">
      <c r="A10" s="3" t="s">
        <v>37</v>
      </c>
      <c r="B10" s="3" t="s">
        <v>38</v>
      </c>
      <c r="C10" s="3" t="s">
        <v>39</v>
      </c>
      <c r="D10" s="3">
        <v>500</v>
      </c>
      <c r="E10" s="3">
        <v>50</v>
      </c>
      <c r="F10" s="3" t="s">
        <v>12</v>
      </c>
      <c r="G10" s="3" t="s">
        <v>38</v>
      </c>
      <c r="H10" s="4" t="b">
        <v>0</v>
      </c>
      <c r="I10" s="6" t="str">
        <f t="shared" si="1"/>
        <v>Electronics</v>
      </c>
      <c r="J10" s="6">
        <f t="shared" si="6"/>
        <v>500</v>
      </c>
      <c r="K10" s="6" t="str">
        <f t="shared" si="2"/>
        <v>Tablet</v>
      </c>
      <c r="L10" s="6" t="str">
        <f t="shared" si="3"/>
        <v>05-SEP</v>
      </c>
      <c r="M10" s="6" t="str">
        <f t="shared" si="4"/>
        <v>UK</v>
      </c>
      <c r="N10" s="6" t="str">
        <f t="shared" si="0"/>
        <v>₹500</v>
      </c>
      <c r="O10" s="9" t="str">
        <f t="shared" si="5"/>
        <v>05-09-2025</v>
      </c>
    </row>
    <row r="11" spans="1:15" x14ac:dyDescent="0.3">
      <c r="A11" s="6" t="s">
        <v>40</v>
      </c>
      <c r="B11" s="6" t="s">
        <v>41</v>
      </c>
      <c r="C11" s="6" t="s">
        <v>42</v>
      </c>
      <c r="D11" s="6">
        <v>130</v>
      </c>
      <c r="E11" s="6">
        <v>10</v>
      </c>
      <c r="F11" s="6" t="s">
        <v>43</v>
      </c>
      <c r="G11" s="6" t="s">
        <v>41</v>
      </c>
      <c r="H11" s="5" t="b">
        <v>0</v>
      </c>
      <c r="I11" s="3" t="str">
        <f t="shared" si="1"/>
        <v>Outdoor</v>
      </c>
      <c r="J11" s="3">
        <f t="shared" si="6"/>
        <v>130</v>
      </c>
      <c r="K11" s="3" t="str">
        <f t="shared" si="2"/>
        <v>Hiking Boots</v>
      </c>
      <c r="L11" s="3" t="str">
        <f t="shared" si="3"/>
        <v>14-OCT</v>
      </c>
      <c r="M11" s="3" t="str">
        <f t="shared" si="4"/>
        <v>UK</v>
      </c>
      <c r="N11" s="3" t="str">
        <f t="shared" si="0"/>
        <v>₹130</v>
      </c>
      <c r="O11" s="9" t="str">
        <f t="shared" si="5"/>
        <v>14-10-2025</v>
      </c>
    </row>
    <row r="12" spans="1:15" x14ac:dyDescent="0.3">
      <c r="A12" s="3" t="s">
        <v>44</v>
      </c>
      <c r="B12" s="3" t="s">
        <v>10</v>
      </c>
      <c r="C12" s="3" t="s">
        <v>45</v>
      </c>
      <c r="D12" s="3">
        <v>950</v>
      </c>
      <c r="E12" s="3">
        <v>25</v>
      </c>
      <c r="F12" s="3" t="s">
        <v>12</v>
      </c>
      <c r="G12" s="3" t="s">
        <v>10</v>
      </c>
      <c r="H12" s="4" t="b">
        <v>0</v>
      </c>
      <c r="I12" s="6" t="str">
        <f t="shared" si="1"/>
        <v>Electronics</v>
      </c>
      <c r="J12" s="6">
        <f t="shared" si="6"/>
        <v>950</v>
      </c>
      <c r="K12" s="6" t="str">
        <f t="shared" si="2"/>
        <v>Laptop</v>
      </c>
      <c r="L12" s="6" t="str">
        <f t="shared" si="3"/>
        <v>17-JUN</v>
      </c>
      <c r="M12" s="6" t="str">
        <f t="shared" si="4"/>
        <v>IN</v>
      </c>
      <c r="N12" s="6" t="str">
        <f t="shared" si="0"/>
        <v>₹950</v>
      </c>
      <c r="O12" s="9" t="str">
        <f t="shared" si="5"/>
        <v>17-06-2025</v>
      </c>
    </row>
    <row r="13" spans="1:15" x14ac:dyDescent="0.3">
      <c r="A13" s="6" t="s">
        <v>46</v>
      </c>
      <c r="B13" s="6" t="s">
        <v>14</v>
      </c>
      <c r="C13" s="6" t="s">
        <v>33</v>
      </c>
      <c r="D13" s="6">
        <v>90</v>
      </c>
      <c r="E13" s="6">
        <v>40</v>
      </c>
      <c r="F13" s="6"/>
      <c r="G13" s="6" t="s">
        <v>14</v>
      </c>
      <c r="H13" s="5" t="b">
        <v>0</v>
      </c>
      <c r="I13" s="3" t="str">
        <f t="shared" si="1"/>
        <v>UNKOWN</v>
      </c>
      <c r="J13" s="3">
        <f t="shared" si="6"/>
        <v>90</v>
      </c>
      <c r="K13" s="3" t="str">
        <f t="shared" si="2"/>
        <v>Sneakers</v>
      </c>
      <c r="L13" s="3" t="str">
        <f t="shared" si="3"/>
        <v>25-NOV</v>
      </c>
      <c r="M13" s="3" t="str">
        <f t="shared" si="4"/>
        <v>AU</v>
      </c>
      <c r="N13" s="3" t="str">
        <f t="shared" si="0"/>
        <v>₹90</v>
      </c>
      <c r="O13" s="9" t="str">
        <f t="shared" si="5"/>
        <v>25-11-2025</v>
      </c>
    </row>
    <row r="14" spans="1:15" x14ac:dyDescent="0.3">
      <c r="A14" s="3" t="s">
        <v>47</v>
      </c>
      <c r="B14" s="3" t="s">
        <v>18</v>
      </c>
      <c r="C14" s="3" t="s">
        <v>48</v>
      </c>
      <c r="D14" s="3">
        <v>120</v>
      </c>
      <c r="E14" s="3">
        <v>35</v>
      </c>
      <c r="F14" s="3"/>
      <c r="G14" s="3" t="s">
        <v>18</v>
      </c>
      <c r="H14" s="4" t="b">
        <v>0</v>
      </c>
      <c r="I14" s="6" t="str">
        <f t="shared" si="1"/>
        <v>UNKOWN</v>
      </c>
      <c r="J14" s="6">
        <f t="shared" si="6"/>
        <v>120</v>
      </c>
      <c r="K14" s="6" t="str">
        <f t="shared" si="2"/>
        <v>Coffee Maker</v>
      </c>
      <c r="L14" s="6" t="str">
        <f t="shared" si="3"/>
        <v>08-DEC</v>
      </c>
      <c r="M14" s="6" t="str">
        <f t="shared" si="4"/>
        <v>DE</v>
      </c>
      <c r="N14" s="6" t="str">
        <f t="shared" si="0"/>
        <v>₹120</v>
      </c>
      <c r="O14" s="9" t="str">
        <f t="shared" si="5"/>
        <v>08-12-2025</v>
      </c>
    </row>
    <row r="15" spans="1:15" x14ac:dyDescent="0.3">
      <c r="A15" s="6" t="s">
        <v>49</v>
      </c>
      <c r="B15" s="6" t="s">
        <v>50</v>
      </c>
      <c r="C15" s="6" t="s">
        <v>51</v>
      </c>
      <c r="D15" s="6">
        <v>150</v>
      </c>
      <c r="E15" s="6">
        <v>15</v>
      </c>
      <c r="F15" s="6" t="s">
        <v>30</v>
      </c>
      <c r="G15" s="6" t="s">
        <v>50</v>
      </c>
      <c r="H15" s="5" t="b">
        <v>0</v>
      </c>
      <c r="I15" s="3" t="str">
        <f t="shared" si="1"/>
        <v>Electroni</v>
      </c>
      <c r="J15" s="3">
        <f t="shared" si="6"/>
        <v>150</v>
      </c>
      <c r="K15" s="3" t="str">
        <f t="shared" si="2"/>
        <v>Smartwatch</v>
      </c>
      <c r="L15" s="3" t="str">
        <f t="shared" si="3"/>
        <v>18-FEB</v>
      </c>
      <c r="M15" s="3" t="str">
        <f t="shared" si="4"/>
        <v>CA</v>
      </c>
      <c r="N15" s="3" t="str">
        <f t="shared" si="0"/>
        <v>₹150</v>
      </c>
      <c r="O15" s="9" t="str">
        <f t="shared" si="5"/>
        <v>18-02-2025</v>
      </c>
    </row>
    <row r="16" spans="1:15" x14ac:dyDescent="0.3">
      <c r="A16" s="3" t="s">
        <v>52</v>
      </c>
      <c r="B16" s="3" t="s">
        <v>28</v>
      </c>
      <c r="C16" s="3" t="s">
        <v>53</v>
      </c>
      <c r="D16" s="3">
        <v>250</v>
      </c>
      <c r="E16" s="3">
        <v>20</v>
      </c>
      <c r="F16" s="3" t="s">
        <v>30</v>
      </c>
      <c r="G16" s="3" t="s">
        <v>28</v>
      </c>
      <c r="H16" s="5" t="b">
        <v>0</v>
      </c>
      <c r="I16" s="3" t="str">
        <f t="shared" si="1"/>
        <v>Electroni</v>
      </c>
      <c r="J16" s="3">
        <f t="shared" si="6"/>
        <v>250</v>
      </c>
      <c r="K16" s="6" t="str">
        <f t="shared" si="2"/>
        <v>Headphones</v>
      </c>
      <c r="L16" s="6" t="str">
        <f t="shared" si="3"/>
        <v>16-APR</v>
      </c>
      <c r="M16" s="6" t="str">
        <f t="shared" si="4"/>
        <v>ES</v>
      </c>
      <c r="N16" s="6" t="str">
        <f t="shared" si="0"/>
        <v>₹250</v>
      </c>
      <c r="O16" s="9" t="str">
        <f t="shared" si="5"/>
        <v>16-04-2025</v>
      </c>
    </row>
    <row r="17" spans="1:15" x14ac:dyDescent="0.3">
      <c r="A17" s="6" t="s">
        <v>54</v>
      </c>
      <c r="B17" s="6" t="s">
        <v>55</v>
      </c>
      <c r="C17" s="6" t="s">
        <v>56</v>
      </c>
      <c r="D17" s="6">
        <v>50</v>
      </c>
      <c r="E17" s="6">
        <v>35</v>
      </c>
      <c r="F17" s="6" t="s">
        <v>57</v>
      </c>
      <c r="G17" s="6" t="s">
        <v>55</v>
      </c>
      <c r="H17" s="4" t="b">
        <v>0</v>
      </c>
      <c r="I17" s="6" t="str">
        <f t="shared" si="1"/>
        <v>Accessories</v>
      </c>
      <c r="J17" s="6">
        <f t="shared" si="6"/>
        <v>50</v>
      </c>
      <c r="K17" s="3" t="str">
        <f t="shared" si="2"/>
        <v>Laptop Bag</v>
      </c>
      <c r="L17" s="3" t="str">
        <f t="shared" si="3"/>
        <v>21-AUG</v>
      </c>
      <c r="M17" s="3" t="str">
        <f t="shared" si="4"/>
        <v>CA</v>
      </c>
      <c r="N17" s="3" t="str">
        <f t="shared" si="0"/>
        <v>₹50</v>
      </c>
      <c r="O17" s="9" t="str">
        <f t="shared" si="5"/>
        <v>21-08-2025</v>
      </c>
    </row>
    <row r="18" spans="1:15" x14ac:dyDescent="0.3">
      <c r="A18" s="3" t="s">
        <v>58</v>
      </c>
      <c r="B18" s="3" t="s">
        <v>50</v>
      </c>
      <c r="C18" s="3" t="s">
        <v>59</v>
      </c>
      <c r="D18" s="3">
        <v>160</v>
      </c>
      <c r="E18" s="3">
        <v>15</v>
      </c>
      <c r="F18" s="3" t="s">
        <v>30</v>
      </c>
      <c r="G18" s="3" t="s">
        <v>50</v>
      </c>
      <c r="H18" s="5" t="b">
        <v>0</v>
      </c>
      <c r="I18" s="3" t="str">
        <f t="shared" si="1"/>
        <v>Electroni</v>
      </c>
      <c r="J18" s="3">
        <f t="shared" si="6"/>
        <v>160</v>
      </c>
      <c r="K18" s="6" t="str">
        <f t="shared" si="2"/>
        <v>Smartwatch</v>
      </c>
      <c r="L18" s="3" t="str">
        <f t="shared" si="3"/>
        <v>20-AUG</v>
      </c>
      <c r="M18" s="3" t="str">
        <f t="shared" si="4"/>
        <v>CN</v>
      </c>
      <c r="N18" s="3" t="str">
        <f t="shared" si="0"/>
        <v>₹160</v>
      </c>
      <c r="O18" s="9" t="str">
        <f t="shared" si="5"/>
        <v>20-08-2025</v>
      </c>
    </row>
    <row r="19" spans="1:15" x14ac:dyDescent="0.3">
      <c r="A19" s="6" t="s">
        <v>60</v>
      </c>
      <c r="B19" s="6" t="s">
        <v>10</v>
      </c>
      <c r="C19" s="6" t="s">
        <v>61</v>
      </c>
      <c r="D19" s="6">
        <v>980</v>
      </c>
      <c r="E19" s="6">
        <v>10</v>
      </c>
      <c r="F19" s="6" t="s">
        <v>12</v>
      </c>
      <c r="G19" s="6" t="s">
        <v>10</v>
      </c>
      <c r="H19" s="4" t="b">
        <v>0</v>
      </c>
      <c r="I19" s="6" t="str">
        <f t="shared" si="1"/>
        <v>Electronics</v>
      </c>
      <c r="J19" s="6">
        <f t="shared" si="6"/>
        <v>980</v>
      </c>
      <c r="K19" s="3" t="str">
        <f t="shared" si="2"/>
        <v>Laptop</v>
      </c>
      <c r="L19" s="6" t="str">
        <f t="shared" si="3"/>
        <v>27-JAN</v>
      </c>
      <c r="M19" s="6" t="str">
        <f t="shared" si="4"/>
        <v>IT</v>
      </c>
      <c r="N19" s="6" t="str">
        <f t="shared" si="0"/>
        <v>₹980</v>
      </c>
      <c r="O19" s="9" t="str">
        <f t="shared" si="5"/>
        <v>27-01-2025</v>
      </c>
    </row>
    <row r="20" spans="1:15" x14ac:dyDescent="0.3">
      <c r="A20" s="3" t="s">
        <v>62</v>
      </c>
      <c r="B20" s="3" t="s">
        <v>63</v>
      </c>
      <c r="C20" s="3" t="s">
        <v>64</v>
      </c>
      <c r="D20" s="3">
        <v>150</v>
      </c>
      <c r="E20" s="3">
        <v>15</v>
      </c>
      <c r="F20" s="3" t="s">
        <v>16</v>
      </c>
      <c r="G20" s="3" t="s">
        <v>63</v>
      </c>
      <c r="H20" s="5" t="b">
        <v>0</v>
      </c>
      <c r="I20" s="3" t="str">
        <f t="shared" si="1"/>
        <v>Fashion</v>
      </c>
      <c r="J20" s="3">
        <f t="shared" si="6"/>
        <v>150</v>
      </c>
      <c r="K20" s="6" t="str">
        <f t="shared" si="2"/>
        <v>Sunglasses</v>
      </c>
      <c r="L20" s="3" t="str">
        <f t="shared" si="3"/>
        <v>01-MAR</v>
      </c>
      <c r="M20" s="3" t="str">
        <f t="shared" si="4"/>
        <v>UK</v>
      </c>
      <c r="N20" s="3" t="str">
        <f t="shared" si="0"/>
        <v>₹150</v>
      </c>
      <c r="O20" s="9" t="str">
        <f t="shared" si="5"/>
        <v>01-03-2025</v>
      </c>
    </row>
    <row r="21" spans="1:15" x14ac:dyDescent="0.3">
      <c r="A21" s="6" t="s">
        <v>65</v>
      </c>
      <c r="B21" s="6" t="s">
        <v>66</v>
      </c>
      <c r="C21" s="6" t="s">
        <v>67</v>
      </c>
      <c r="D21" s="6"/>
      <c r="E21" s="6">
        <v>10</v>
      </c>
      <c r="F21" s="6" t="s">
        <v>43</v>
      </c>
      <c r="G21" s="6" t="s">
        <v>66</v>
      </c>
      <c r="H21" s="4" t="b">
        <v>1</v>
      </c>
      <c r="I21" s="6" t="str">
        <f t="shared" si="1"/>
        <v>Outdoor</v>
      </c>
      <c r="J21" s="8">
        <f>IF(ISBLANK(D21),AVERAGE($D$2:$D$35),D21)</f>
        <v>303.21428571428572</v>
      </c>
      <c r="K21" s="6" t="str">
        <f>TRIM(G21)</f>
        <v>Camping Tent</v>
      </c>
      <c r="L21" s="6" t="str">
        <f t="shared" si="3"/>
        <v>14-AUG</v>
      </c>
      <c r="M21" s="6" t="str">
        <f t="shared" si="4"/>
        <v>US</v>
      </c>
      <c r="N21" s="6" t="str">
        <f t="shared" si="0"/>
        <v>₹303</v>
      </c>
      <c r="O21" s="9" t="str">
        <f t="shared" si="5"/>
        <v>14-08-2025</v>
      </c>
    </row>
    <row r="22" spans="1:15" x14ac:dyDescent="0.3">
      <c r="A22" s="3" t="s">
        <v>68</v>
      </c>
      <c r="B22" s="3" t="s">
        <v>69</v>
      </c>
      <c r="C22" s="3" t="s">
        <v>70</v>
      </c>
      <c r="D22" s="3">
        <v>700</v>
      </c>
      <c r="E22" s="3">
        <v>50</v>
      </c>
      <c r="F22" s="3" t="s">
        <v>12</v>
      </c>
      <c r="G22" s="3" t="s">
        <v>69</v>
      </c>
      <c r="H22" s="5" t="b">
        <v>0</v>
      </c>
      <c r="I22" s="3" t="str">
        <f t="shared" si="1"/>
        <v>Electronics</v>
      </c>
      <c r="J22" s="3">
        <f t="shared" si="6"/>
        <v>700</v>
      </c>
      <c r="K22" s="3" t="str">
        <f t="shared" si="2"/>
        <v>Camera</v>
      </c>
      <c r="L22" s="3" t="str">
        <f t="shared" si="3"/>
        <v>14-MAY</v>
      </c>
      <c r="M22" s="3" t="str">
        <f t="shared" si="4"/>
        <v>RU</v>
      </c>
      <c r="N22" s="3" t="str">
        <f t="shared" si="0"/>
        <v>₹700</v>
      </c>
      <c r="O22" s="9" t="str">
        <f t="shared" si="5"/>
        <v>14-05-2025</v>
      </c>
    </row>
    <row r="23" spans="1:15" x14ac:dyDescent="0.3">
      <c r="A23" s="6" t="s">
        <v>71</v>
      </c>
      <c r="B23" s="6" t="s">
        <v>72</v>
      </c>
      <c r="C23" s="6" t="s">
        <v>73</v>
      </c>
      <c r="D23" s="6">
        <v>80</v>
      </c>
      <c r="E23" s="6">
        <v>20</v>
      </c>
      <c r="F23" s="6" t="s">
        <v>20</v>
      </c>
      <c r="G23" s="6" t="s">
        <v>72</v>
      </c>
      <c r="H23" s="4" t="b">
        <v>0</v>
      </c>
      <c r="I23" s="6" t="str">
        <f t="shared" si="1"/>
        <v>Kitchen</v>
      </c>
      <c r="J23" s="6">
        <f t="shared" si="6"/>
        <v>80</v>
      </c>
      <c r="K23" s="6" t="str">
        <f t="shared" si="2"/>
        <v>Microwave</v>
      </c>
      <c r="L23" s="6" t="str">
        <f t="shared" si="3"/>
        <v>09-JAN</v>
      </c>
      <c r="M23" s="6" t="str">
        <f t="shared" si="4"/>
        <v>CA</v>
      </c>
      <c r="N23" s="6" t="str">
        <f t="shared" si="0"/>
        <v>₹80</v>
      </c>
      <c r="O23" s="9" t="str">
        <f t="shared" si="5"/>
        <v>09-01-2025</v>
      </c>
    </row>
    <row r="24" spans="1:15" x14ac:dyDescent="0.3">
      <c r="A24" s="3" t="s">
        <v>74</v>
      </c>
      <c r="B24" s="3" t="s">
        <v>75</v>
      </c>
      <c r="C24" s="3" t="s">
        <v>76</v>
      </c>
      <c r="D24" s="3">
        <v>150</v>
      </c>
      <c r="E24" s="3">
        <v>30</v>
      </c>
      <c r="F24" s="3"/>
      <c r="G24" s="3" t="s">
        <v>75</v>
      </c>
      <c r="H24" s="5" t="b">
        <v>0</v>
      </c>
      <c r="I24" s="3" t="str">
        <f t="shared" si="1"/>
        <v>UNKOWN</v>
      </c>
      <c r="J24" s="3">
        <f t="shared" si="6"/>
        <v>150</v>
      </c>
      <c r="K24" s="3" t="str">
        <f t="shared" si="2"/>
        <v>Fitness Tracker</v>
      </c>
      <c r="L24" s="3" t="str">
        <f t="shared" si="3"/>
        <v>19-JUL</v>
      </c>
      <c r="M24" s="3" t="str">
        <f t="shared" si="4"/>
        <v>BR</v>
      </c>
      <c r="N24" s="3" t="str">
        <f t="shared" si="0"/>
        <v>₹150</v>
      </c>
      <c r="O24" s="9" t="str">
        <f t="shared" si="5"/>
        <v>19-07-2025</v>
      </c>
    </row>
    <row r="25" spans="1:15" x14ac:dyDescent="0.3">
      <c r="A25" s="3" t="s">
        <v>77</v>
      </c>
      <c r="B25" s="6" t="s">
        <v>55</v>
      </c>
      <c r="C25" s="6" t="s">
        <v>56</v>
      </c>
      <c r="D25" s="6">
        <v>50</v>
      </c>
      <c r="E25" s="6">
        <v>35</v>
      </c>
      <c r="F25" s="6" t="s">
        <v>57</v>
      </c>
      <c r="G25" s="6" t="s">
        <v>55</v>
      </c>
      <c r="H25" s="4" t="b">
        <v>0</v>
      </c>
      <c r="I25" s="6" t="str">
        <f t="shared" si="1"/>
        <v>Accessories</v>
      </c>
      <c r="J25" s="6">
        <f t="shared" si="6"/>
        <v>50</v>
      </c>
      <c r="K25" s="6" t="str">
        <f t="shared" si="2"/>
        <v>Laptop Bag</v>
      </c>
      <c r="L25" s="6" t="str">
        <f t="shared" si="3"/>
        <v>29-SEP</v>
      </c>
      <c r="M25" s="6" t="str">
        <f t="shared" si="4"/>
        <v>CA</v>
      </c>
      <c r="N25" s="6" t="str">
        <f t="shared" si="0"/>
        <v>₹50</v>
      </c>
      <c r="O25" s="9" t="str">
        <f t="shared" si="5"/>
        <v>29-09-2025</v>
      </c>
    </row>
    <row r="26" spans="1:15" x14ac:dyDescent="0.3">
      <c r="A26" s="6" t="s">
        <v>78</v>
      </c>
      <c r="B26" s="3" t="s">
        <v>22</v>
      </c>
      <c r="C26" s="3" t="s">
        <v>79</v>
      </c>
      <c r="D26" s="3">
        <v>800</v>
      </c>
      <c r="E26" s="3">
        <v>45</v>
      </c>
      <c r="F26" s="3" t="s">
        <v>12</v>
      </c>
      <c r="G26" s="3" t="s">
        <v>22</v>
      </c>
      <c r="H26" s="5" t="b">
        <v>0</v>
      </c>
      <c r="I26" s="3" t="str">
        <f t="shared" si="1"/>
        <v>Electronics</v>
      </c>
      <c r="J26" s="3">
        <f t="shared" si="6"/>
        <v>800</v>
      </c>
      <c r="K26" s="3" t="str">
        <f t="shared" si="2"/>
        <v>Smartphone</v>
      </c>
      <c r="L26" s="3" t="str">
        <f t="shared" si="3"/>
        <v>03-JUN</v>
      </c>
      <c r="M26" s="3" t="str">
        <f t="shared" si="4"/>
        <v>CA</v>
      </c>
      <c r="N26" s="3" t="str">
        <f t="shared" si="0"/>
        <v>₹800</v>
      </c>
      <c r="O26" s="9" t="str">
        <f t="shared" si="5"/>
        <v>03-06-2025</v>
      </c>
    </row>
    <row r="27" spans="1:15" x14ac:dyDescent="0.3">
      <c r="A27" s="3" t="s">
        <v>80</v>
      </c>
      <c r="B27" s="6" t="s">
        <v>63</v>
      </c>
      <c r="C27" s="6" t="s">
        <v>81</v>
      </c>
      <c r="D27" s="6"/>
      <c r="E27" s="6">
        <v>25</v>
      </c>
      <c r="F27" s="6" t="s">
        <v>16</v>
      </c>
      <c r="G27" s="6" t="s">
        <v>63</v>
      </c>
      <c r="H27" s="4" t="b">
        <v>1</v>
      </c>
      <c r="I27" s="6" t="str">
        <f t="shared" si="1"/>
        <v>Fashion</v>
      </c>
      <c r="J27" s="8">
        <f t="shared" si="6"/>
        <v>303.21428571428572</v>
      </c>
      <c r="K27" s="6" t="str">
        <f t="shared" si="2"/>
        <v>Sunglasses</v>
      </c>
      <c r="L27" s="6" t="str">
        <f t="shared" si="3"/>
        <v>11-JUL</v>
      </c>
      <c r="M27" s="6" t="str">
        <f t="shared" si="4"/>
        <v>CA</v>
      </c>
      <c r="N27" s="6" t="str">
        <f t="shared" si="0"/>
        <v>₹303</v>
      </c>
      <c r="O27" s="9" t="str">
        <f t="shared" si="5"/>
        <v>11-07-2025</v>
      </c>
    </row>
    <row r="28" spans="1:15" x14ac:dyDescent="0.3">
      <c r="A28" s="3" t="s">
        <v>82</v>
      </c>
      <c r="B28" s="3" t="s">
        <v>35</v>
      </c>
      <c r="C28" s="3" t="s">
        <v>83</v>
      </c>
      <c r="D28" s="3">
        <v>400</v>
      </c>
      <c r="E28" s="3">
        <v>40</v>
      </c>
      <c r="F28" s="3" t="s">
        <v>20</v>
      </c>
      <c r="G28" s="3" t="s">
        <v>35</v>
      </c>
      <c r="H28" s="5" t="b">
        <v>0</v>
      </c>
      <c r="I28" s="3" t="str">
        <f t="shared" si="1"/>
        <v>Kitchen</v>
      </c>
      <c r="J28" s="3">
        <f t="shared" si="6"/>
        <v>400</v>
      </c>
      <c r="K28" s="3" t="str">
        <f t="shared" si="2"/>
        <v>Blender</v>
      </c>
      <c r="L28" s="3" t="str">
        <f t="shared" si="3"/>
        <v>07-MAR</v>
      </c>
      <c r="M28" s="3" t="str">
        <f t="shared" si="4"/>
        <v>CA</v>
      </c>
      <c r="N28" s="3" t="str">
        <f t="shared" si="0"/>
        <v>₹400</v>
      </c>
      <c r="O28" s="9" t="str">
        <f>TEXT(L28,"DD-MM-YYYY")</f>
        <v>07-03-2025</v>
      </c>
    </row>
    <row r="29" spans="1:15" x14ac:dyDescent="0.3">
      <c r="A29" s="6" t="s">
        <v>84</v>
      </c>
      <c r="B29" s="6" t="s">
        <v>28</v>
      </c>
      <c r="C29" s="6" t="s">
        <v>53</v>
      </c>
      <c r="D29" s="6">
        <v>250</v>
      </c>
      <c r="E29" s="6">
        <v>20</v>
      </c>
      <c r="F29" s="6" t="s">
        <v>30</v>
      </c>
      <c r="G29" s="6" t="s">
        <v>28</v>
      </c>
      <c r="H29" s="4" t="b">
        <v>0</v>
      </c>
      <c r="I29" s="6" t="str">
        <f t="shared" si="1"/>
        <v>Electroni</v>
      </c>
      <c r="J29" s="6">
        <f t="shared" si="6"/>
        <v>250</v>
      </c>
      <c r="K29" s="6" t="str">
        <f t="shared" si="2"/>
        <v>Headphones</v>
      </c>
      <c r="L29" s="6" t="str">
        <f t="shared" si="3"/>
        <v>13-APR</v>
      </c>
      <c r="M29" s="6" t="str">
        <f t="shared" si="4"/>
        <v>CA</v>
      </c>
      <c r="N29" s="6" t="str">
        <f t="shared" si="0"/>
        <v>₹250</v>
      </c>
      <c r="O29" s="9" t="str">
        <f t="shared" si="5"/>
        <v>13-04-2025</v>
      </c>
    </row>
    <row r="30" spans="1:15" x14ac:dyDescent="0.3">
      <c r="A30" s="3" t="s">
        <v>85</v>
      </c>
      <c r="B30" s="3" t="s">
        <v>86</v>
      </c>
      <c r="C30" s="3" t="s">
        <v>87</v>
      </c>
      <c r="D30" s="3">
        <v>60</v>
      </c>
      <c r="E30" s="3">
        <v>30</v>
      </c>
      <c r="F30" s="3" t="s">
        <v>16</v>
      </c>
      <c r="G30" s="3" t="s">
        <v>86</v>
      </c>
      <c r="H30" s="5" t="b">
        <v>0</v>
      </c>
      <c r="I30" s="3" t="str">
        <f t="shared" si="1"/>
        <v>Fashion</v>
      </c>
      <c r="J30" s="3">
        <f t="shared" si="6"/>
        <v>60</v>
      </c>
      <c r="K30" s="3" t="str">
        <f t="shared" si="2"/>
        <v>Dress</v>
      </c>
      <c r="L30" s="3" t="str">
        <f t="shared" si="3"/>
        <v>24-MAY</v>
      </c>
      <c r="M30" s="3" t="str">
        <f t="shared" si="4"/>
        <v>CA</v>
      </c>
      <c r="N30" s="3" t="str">
        <f t="shared" si="0"/>
        <v>₹60</v>
      </c>
      <c r="O30" s="9" t="str">
        <f t="shared" si="5"/>
        <v>24-05-2025</v>
      </c>
    </row>
    <row r="31" spans="1:15" x14ac:dyDescent="0.3">
      <c r="A31" s="6" t="s">
        <v>88</v>
      </c>
      <c r="B31" s="6" t="s">
        <v>89</v>
      </c>
      <c r="C31" s="6" t="s">
        <v>90</v>
      </c>
      <c r="D31" s="6">
        <v>40</v>
      </c>
      <c r="E31" s="6">
        <v>10</v>
      </c>
      <c r="F31" s="6" t="s">
        <v>20</v>
      </c>
      <c r="G31" s="6" t="s">
        <v>89</v>
      </c>
      <c r="H31" s="5" t="b">
        <v>0</v>
      </c>
      <c r="I31" s="3" t="str">
        <f>IF(ISBLANK(F31),"UNKOWN",F31)</f>
        <v>Kitchen</v>
      </c>
      <c r="J31" s="3">
        <f t="shared" si="6"/>
        <v>40</v>
      </c>
      <c r="K31" s="6" t="str">
        <f t="shared" si="2"/>
        <v>Toaster</v>
      </c>
      <c r="L31" s="6" t="str">
        <f t="shared" si="3"/>
        <v>02-DEC</v>
      </c>
      <c r="M31" s="6" t="str">
        <f t="shared" si="4"/>
        <v>CA</v>
      </c>
      <c r="N31" s="6" t="str">
        <f t="shared" si="0"/>
        <v>₹40</v>
      </c>
      <c r="O31" s="9" t="str">
        <f t="shared" si="5"/>
        <v>02-12-2025</v>
      </c>
    </row>
    <row r="32" spans="1:15" x14ac:dyDescent="0.3">
      <c r="A32" s="6" t="s">
        <v>91</v>
      </c>
      <c r="B32" s="3" t="s">
        <v>75</v>
      </c>
      <c r="C32" s="3" t="s">
        <v>92</v>
      </c>
      <c r="D32" s="3">
        <v>130</v>
      </c>
      <c r="E32" s="3">
        <v>5</v>
      </c>
      <c r="F32" s="3" t="s">
        <v>12</v>
      </c>
      <c r="G32" s="3" t="s">
        <v>75</v>
      </c>
      <c r="H32" s="4" t="b">
        <v>0</v>
      </c>
      <c r="I32" s="6" t="str">
        <f>IF(ISBLANK(F32),"UNKOWN",F32)</f>
        <v>Electronics</v>
      </c>
      <c r="J32" s="6">
        <f t="shared" si="6"/>
        <v>130</v>
      </c>
      <c r="K32" s="3" t="str">
        <f t="shared" si="2"/>
        <v>Fitness Tracker</v>
      </c>
      <c r="L32" s="3" t="str">
        <f t="shared" si="3"/>
        <v>09-JUL</v>
      </c>
      <c r="M32" s="3" t="str">
        <f t="shared" si="4"/>
        <v>FR</v>
      </c>
      <c r="N32" s="6" t="str">
        <f t="shared" si="0"/>
        <v>₹130</v>
      </c>
      <c r="O32" s="9" t="str">
        <f t="shared" si="5"/>
        <v>09-07-2025</v>
      </c>
    </row>
    <row r="33" spans="8:14" x14ac:dyDescent="0.3">
      <c r="H33" t="b">
        <v>1</v>
      </c>
      <c r="N33" s="3"/>
    </row>
    <row r="34" spans="8:14" x14ac:dyDescent="0.3">
      <c r="H34" t="b">
        <v>1</v>
      </c>
    </row>
    <row r="35" spans="8:14" x14ac:dyDescent="0.3">
      <c r="H35" t="b">
        <v>1</v>
      </c>
    </row>
  </sheetData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2026-05-06T12:09:32Z</cp:lastPrinted>
  <dcterms:created xsi:type="dcterms:W3CDTF">2025-11-23T16:21:08Z</dcterms:created>
  <dcterms:modified xsi:type="dcterms:W3CDTF">2026-05-06T12:09:32Z</dcterms:modified>
</cp:coreProperties>
</file>