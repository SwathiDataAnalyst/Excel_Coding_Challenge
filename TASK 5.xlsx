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b9a1e314b52a5af4/Desktop/"/>
    </mc:Choice>
  </mc:AlternateContent>
  <xr:revisionPtr revIDLastSave="54" documentId="8_{F0AD1744-3B30-4D99-9C42-4E9A6D219002}" xr6:coauthVersionLast="47" xr6:coauthVersionMax="47" xr10:uidLastSave="{C72BCA4D-36BC-4746-AF2A-5FB4A6E651EC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definedNames>
    <definedName name="_xlnm._FilterDatabase" localSheetId="1" hidden="1">Dataset!$A$1:$K$36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L2" i="2" l="1"/>
  <c r="M2" i="2"/>
  <c r="E36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2" i="2"/>
  <c r="H2" i="2"/>
  <c r="G47" i="2"/>
  <c r="I2" i="2"/>
  <c r="J2" i="2"/>
</calcChain>
</file>

<file path=xl/sharedStrings.xml><?xml version="1.0" encoding="utf-8"?>
<sst xmlns="http://schemas.openxmlformats.org/spreadsheetml/2006/main" count="168" uniqueCount="119">
  <si>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</si>
  <si>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</si>
  <si>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</si>
  <si>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</si>
  <si>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</si>
  <si>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</si>
  <si>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</si>
  <si>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</si>
  <si>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</si>
  <si>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</si>
  <si>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</si>
  <si>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</si>
  <si>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</si>
  <si>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</si>
  <si>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</si>
  <si>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</si>
  <si>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</si>
  <si>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</si>
  <si>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</si>
  <si>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</si>
  <si>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</si>
  <si>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</si>
  <si>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</si>
  <si>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</si>
  <si>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</si>
  <si>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</si>
  <si>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</si>
  <si>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</si>
  <si>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</si>
  <si>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</si>
  <si>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</si>
  <si>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</si>
  <si>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</si>
  <si>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</si>
  <si>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</si>
  <si>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</si>
  <si>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</si>
  <si>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</si>
  <si>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</si>
  <si>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</si>
  <si>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</si>
  <si>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</si>
  <si>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</si>
  <si>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</si>
  <si>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</si>
  <si>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</si>
  <si>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</si>
  <si>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</si>
  <si>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</si>
  <si>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</si>
  <si>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</si>
  <si>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</si>
  <si>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</si>
  <si>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</si>
  <si>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</si>
  <si>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</si>
  <si>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</si>
  <si>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</si>
  <si>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</si>
  <si>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</si>
  <si>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</si>
  <si>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</si>
  <si>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</si>
  <si>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</si>
  <si>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</si>
  <si>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</si>
  <si>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</si>
  <si>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</si>
  <si>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</si>
  <si>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</si>
  <si>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</si>
  <si>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</si>
  <si>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</si>
  <si>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</si>
  <si>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</si>
  <si>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</si>
  <si>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</si>
  <si>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</si>
  <si>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</si>
  <si>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</si>
  <si>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</si>
  <si>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</si>
  <si>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</si>
  <si>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</si>
  <si>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</si>
  <si>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</si>
  <si>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</si>
  <si>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</si>
  <si>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</si>
  <si>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</si>
  <si>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</si>
  <si>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</si>
  <si>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</si>
  <si>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</si>
  <si>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</si>
  <si>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</si>
  <si>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</si>
  <si>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</si>
  <si>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</si>
  <si>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</si>
  <si>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</si>
  <si>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</si>
  <si>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</si>
  <si>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</si>
  <si>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</si>
  <si>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</si>
  <si>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</si>
  <si>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</si>
  <si>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</si>
  <si>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Sum</t>
  </si>
  <si>
    <t>Average</t>
  </si>
  <si>
    <t>Min</t>
  </si>
  <si>
    <t>Max</t>
  </si>
  <si>
    <t>Price Range</t>
  </si>
  <si>
    <t>SUMIF</t>
  </si>
  <si>
    <t>COUNTIF</t>
  </si>
  <si>
    <t>PRODUCT CODE</t>
  </si>
  <si>
    <t>MONTH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</si>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</sst>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workbookViewId="0">
      <selection activeCell="M26" sqref="M26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3" ht="15.75" customHeight="1" x14ac:dyDescent="0.25">
      <c r="A1" s="1" t="s">
        <v>0</v>
      </c>
    </row>
    <row r="2" spans="1:3" ht="15.75" customHeight="1" x14ac:dyDescent="0.25"/>
    <row r="3" spans="1:3" ht="15.75" customHeight="1" x14ac:dyDescent="0.3">
      <c r="B3" s="2" t="s">
        <v>1</v>
      </c>
    </row>
    <row r="4" spans="1:3" ht="15.75" customHeight="1" x14ac:dyDescent="0.3">
      <c r="B4" s="2"/>
      <c r="C4" s="3" t="s">
        <v>2</v>
      </c>
    </row>
    <row r="5" spans="1:3" ht="15.75" customHeight="1" x14ac:dyDescent="0.3">
      <c r="B5" s="2"/>
      <c r="C5" s="3" t="s">
        <v>3</v>
      </c>
    </row>
    <row r="6" spans="1:3" ht="15.75" customHeight="1" x14ac:dyDescent="0.3">
      <c r="B6" s="2"/>
      <c r="C6" s="3" t="s">
        <v>4</v>
      </c>
    </row>
    <row r="7" spans="1:3" ht="15.75" customHeight="1" x14ac:dyDescent="0.3">
      <c r="B7" s="4"/>
    </row>
    <row r="8" spans="1:3" ht="15.75" customHeight="1" x14ac:dyDescent="0.3">
      <c r="B8" s="2" t="s">
        <v>5</v>
      </c>
    </row>
    <row r="9" spans="1:3" ht="15.75" customHeight="1" x14ac:dyDescent="0.3">
      <c r="C9" s="3" t="s">
        <v>6</v>
      </c>
    </row>
    <row r="10" spans="1:3" ht="15.75" customHeight="1" x14ac:dyDescent="0.3">
      <c r="C10" s="3" t="s">
        <v>7</v>
      </c>
    </row>
    <row r="11" spans="1:3" ht="15.75" customHeight="1" x14ac:dyDescent="0.3">
      <c r="B11" s="4"/>
    </row>
    <row r="12" spans="1:3" ht="15.75" customHeight="1" x14ac:dyDescent="0.3">
      <c r="B12" s="2" t="s">
        <v>8</v>
      </c>
    </row>
    <row r="13" spans="1:3" ht="15.75" customHeight="1" x14ac:dyDescent="0.3">
      <c r="C13" s="3" t="s">
        <v>9</v>
      </c>
    </row>
    <row r="14" spans="1:3" ht="15.75" customHeight="1" x14ac:dyDescent="0.3">
      <c r="B14" s="4"/>
    </row>
    <row r="15" spans="1:3" ht="15.75" customHeight="1" x14ac:dyDescent="0.3">
      <c r="B15" s="2" t="s">
        <v>10</v>
      </c>
    </row>
    <row r="16" spans="1:3" ht="15.75" customHeight="1" x14ac:dyDescent="0.3">
      <c r="C16" s="3" t="s">
        <v>11</v>
      </c>
    </row>
    <row r="17" spans="2:3" ht="15.75" customHeight="1" x14ac:dyDescent="0.3">
      <c r="C17" s="3" t="s">
        <v>12</v>
      </c>
    </row>
    <row r="18" spans="2:3" ht="15.75" customHeight="1" x14ac:dyDescent="0.3">
      <c r="B18" s="4"/>
    </row>
    <row r="19" spans="2:3" ht="15.75" customHeight="1" x14ac:dyDescent="0.3">
      <c r="B19" s="2" t="s">
        <v>13</v>
      </c>
    </row>
    <row r="20" spans="2:3" ht="15.75" customHeight="1" x14ac:dyDescent="0.3">
      <c r="C20" s="3" t="s">
        <v>14</v>
      </c>
    </row>
    <row r="21" spans="2:3" ht="15.75" customHeight="1" x14ac:dyDescent="0.3">
      <c r="C21" s="3" t="s">
        <v>15</v>
      </c>
    </row>
    <row r="22" spans="2:3" ht="15.75" customHeight="1" x14ac:dyDescent="0.3">
      <c r="C22" s="3" t="s">
        <v>16</v>
      </c>
    </row>
    <row r="23" spans="2:3" ht="15.75" customHeight="1" x14ac:dyDescent="0.3">
      <c r="B23" s="4"/>
    </row>
    <row r="24" spans="2:3" ht="15.75" customHeight="1" x14ac:dyDescent="0.25"/>
    <row r="25" spans="2:3" ht="15.75" customHeight="1" x14ac:dyDescent="0.25"/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tabSelected="1" topLeftCell="B1" workbookViewId="0">
      <selection activeCell="L2" sqref="L2"/>
    </sheetView>
  </sheetViews>
  <sheetFormatPr defaultColWidth="12.6640625" defaultRowHeight="15" customHeight="1" x14ac:dyDescent="0.25"/>
  <cols>
    <col min="1" max="1" width="12.6640625" customWidth="1"/>
    <col min="2" max="2" width="14.109375" customWidth="1"/>
    <col min="3" max="6" width="12.6640625" customWidth="1"/>
    <col min="11" max="11" width="13.33203125" bestFit="1" customWidth="1"/>
    <col min="13" max="13" width="14.109375" customWidth="1"/>
    <col min="14" max="14" width="16.109375" bestFit="1" customWidth="1"/>
  </cols>
  <sheetData>
    <row r="1" spans="1:16" ht="15.75" customHeight="1" x14ac:dyDescent="0.25">
      <c r="A1" s="8">
        <v>11</v>
      </c>
      <c r="B1" s="8" t="s">
        <v>17</v>
      </c>
      <c r="C1" s="8" t="s">
        <v>18</v>
      </c>
      <c r="D1" s="8" t="s">
        <v>19</v>
      </c>
      <c r="E1" s="8" t="s">
        <v>20</v>
      </c>
      <c r="F1" s="8" t="s">
        <v>21</v>
      </c>
      <c r="G1" s="8" t="s">
        <v>109</v>
      </c>
      <c r="H1" s="11" t="s">
        <v>110</v>
      </c>
      <c r="I1" s="11" t="s">
        <v>111</v>
      </c>
      <c r="J1" s="11" t="s">
        <v>112</v>
      </c>
      <c r="K1" s="11" t="s">
        <v>113</v>
      </c>
      <c r="L1" s="11" t="s">
        <v>114</v>
      </c>
      <c r="M1" s="11" t="s">
        <v>115</v>
      </c>
      <c r="N1" s="11" t="s">
        <v>116</v>
      </c>
      <c r="O1" s="11" t="s">
        <v>117</v>
      </c>
      <c r="P1" s="11" t="s">
        <v>118</v>
      </c>
    </row>
    <row r="2" spans="1:16" ht="15.75" customHeight="1" x14ac:dyDescent="0.25">
      <c r="A2" s="6" t="s">
        <v>22</v>
      </c>
      <c r="B2" s="6" t="s">
        <v>23</v>
      </c>
      <c r="C2" s="6" t="s">
        <v>24</v>
      </c>
      <c r="D2" s="6">
        <v>1000</v>
      </c>
      <c r="E2" s="6">
        <v>30</v>
      </c>
      <c r="F2" s="9" t="s">
        <v>25</v>
      </c>
      <c r="G2" s="6">
        <f>SUM(E2*D2)</f>
        <v>30000</v>
      </c>
      <c r="H2" s="12">
        <f>AVERAGE(D2:D35)</f>
        <v>297.05882352941177</v>
      </c>
      <c r="I2" s="10">
        <f>MIN(G2:G35)</f>
        <v>150</v>
      </c>
      <c r="J2" s="13">
        <f>MAX(G2:G35)</f>
        <v>36000</v>
      </c>
      <c r="K2" s="10" t="str">
        <f>IF(D2&gt;=500,"Higher","Standard Price")</f>
        <v>Higher</v>
      </c>
      <c r="L2" s="10">
        <f ca="1">SUMIF(F1:F35,"ELECTRONICS",(D2:D35))</f>
        <v>2300</v>
      </c>
      <c r="M2" s="13">
        <f>COUNTIF(Dataset!D2:D35,"&lt;100")</f>
        <v>11</v>
      </c>
      <c r="N2" s="10" t="str">
        <f>LEFT(A2,2)</f>
        <v>28</v>
      </c>
      <c r="O2" s="10" t="str">
        <f>MID(A2,4,3)</f>
        <v>JAN</v>
      </c>
      <c r="P2" s="10" t="str">
        <f>RIGHT(A2,2)</f>
        <v>US</v>
      </c>
    </row>
    <row r="3" spans="1:16" ht="15.75" customHeight="1" x14ac:dyDescent="0.25">
      <c r="A3" s="9" t="s">
        <v>26</v>
      </c>
      <c r="B3" s="9" t="s">
        <v>27</v>
      </c>
      <c r="C3" s="9" t="s">
        <v>28</v>
      </c>
      <c r="D3" s="9">
        <v>80</v>
      </c>
      <c r="E3" s="9">
        <v>15</v>
      </c>
      <c r="F3" s="9" t="s">
        <v>29</v>
      </c>
      <c r="G3" s="6">
        <f t="shared" ref="G3:G47" si="0">SUM(E3*D3)</f>
        <v>1200</v>
      </c>
      <c r="K3" s="10" t="str">
        <f t="shared" ref="K3:K35" si="1">IF(D3&gt;=500,"Higher","Standard Price")</f>
        <v>Standard Price</v>
      </c>
      <c r="N3" s="10" t="str">
        <f t="shared" ref="N3:N35" si="2">LEFT(A3,2)</f>
        <v>15</v>
      </c>
      <c r="O3" s="10" t="str">
        <f t="shared" ref="O3:O35" si="3">MID(A3,4,3)</f>
        <v>FEB</v>
      </c>
      <c r="P3" s="10" t="str">
        <f t="shared" ref="P3:P35" si="4">RIGHT(A3,2)</f>
        <v>US</v>
      </c>
    </row>
    <row r="4" spans="1:16" ht="15.75" customHeight="1" x14ac:dyDescent="0.25">
      <c r="A4" s="6" t="s">
        <v>30</v>
      </c>
      <c r="B4" s="6" t="s">
        <v>31</v>
      </c>
      <c r="C4" s="6" t="s">
        <v>32</v>
      </c>
      <c r="D4" s="6">
        <v>130</v>
      </c>
      <c r="E4" s="6">
        <v>40</v>
      </c>
      <c r="F4" s="6" t="s">
        <v>33</v>
      </c>
      <c r="G4" s="6">
        <f t="shared" si="0"/>
        <v>5200</v>
      </c>
      <c r="K4" s="10" t="str">
        <f t="shared" si="1"/>
        <v>Standard Price</v>
      </c>
      <c r="N4" s="10" t="str">
        <f t="shared" si="2"/>
        <v>03</v>
      </c>
      <c r="O4" s="10" t="str">
        <f t="shared" si="3"/>
        <v>MAR</v>
      </c>
      <c r="P4" s="10" t="str">
        <f t="shared" si="4"/>
        <v>US</v>
      </c>
    </row>
    <row r="5" spans="1:16" ht="15.75" customHeight="1" x14ac:dyDescent="0.25">
      <c r="A5" s="9" t="s">
        <v>34</v>
      </c>
      <c r="B5" s="9" t="s">
        <v>35</v>
      </c>
      <c r="C5" s="9" t="s">
        <v>36</v>
      </c>
      <c r="D5" s="9">
        <v>900</v>
      </c>
      <c r="E5" s="9">
        <v>25</v>
      </c>
      <c r="F5" s="9" t="s">
        <v>25</v>
      </c>
      <c r="G5" s="6">
        <f t="shared" si="0"/>
        <v>22500</v>
      </c>
      <c r="K5" s="10" t="str">
        <f t="shared" si="1"/>
        <v>Higher</v>
      </c>
      <c r="N5" s="10" t="str">
        <f t="shared" si="2"/>
        <v>11</v>
      </c>
      <c r="O5" s="10" t="str">
        <f t="shared" si="3"/>
        <v>APR</v>
      </c>
      <c r="P5" s="10" t="str">
        <f t="shared" si="4"/>
        <v>US</v>
      </c>
    </row>
    <row r="6" spans="1:16" ht="15.75" customHeight="1" x14ac:dyDescent="0.25">
      <c r="A6" s="6" t="s">
        <v>37</v>
      </c>
      <c r="B6" s="6" t="s">
        <v>38</v>
      </c>
      <c r="C6" s="6" t="s">
        <v>39</v>
      </c>
      <c r="D6" s="6">
        <v>70</v>
      </c>
      <c r="E6" s="6">
        <v>20</v>
      </c>
      <c r="F6" s="6" t="s">
        <v>40</v>
      </c>
      <c r="G6" s="6">
        <f t="shared" si="0"/>
        <v>1400</v>
      </c>
      <c r="K6" s="10" t="str">
        <f t="shared" si="1"/>
        <v>Standard Price</v>
      </c>
      <c r="N6" s="10" t="str">
        <f t="shared" si="2"/>
        <v>22</v>
      </c>
      <c r="O6" s="10" t="str">
        <f t="shared" si="3"/>
        <v>MAY</v>
      </c>
      <c r="P6" s="10" t="str">
        <f t="shared" si="4"/>
        <v>US</v>
      </c>
    </row>
    <row r="7" spans="1:16" ht="15.75" customHeight="1" x14ac:dyDescent="0.25">
      <c r="A7" s="9" t="s">
        <v>41</v>
      </c>
      <c r="B7" s="9" t="s">
        <v>42</v>
      </c>
      <c r="C7" s="9" t="s">
        <v>43</v>
      </c>
      <c r="D7" s="9">
        <v>200</v>
      </c>
      <c r="E7" s="9">
        <v>45</v>
      </c>
      <c r="F7" s="9" t="s">
        <v>25</v>
      </c>
      <c r="G7" s="6">
        <f t="shared" si="0"/>
        <v>9000</v>
      </c>
      <c r="K7" s="10" t="str">
        <f t="shared" si="1"/>
        <v>Standard Price</v>
      </c>
      <c r="N7" s="10" t="str">
        <f t="shared" si="2"/>
        <v>07</v>
      </c>
      <c r="O7" s="10" t="str">
        <f t="shared" si="3"/>
        <v>JUN</v>
      </c>
      <c r="P7" s="10" t="str">
        <f t="shared" si="4"/>
        <v>UK</v>
      </c>
    </row>
    <row r="8" spans="1:16" ht="15.75" customHeight="1" x14ac:dyDescent="0.25">
      <c r="A8" s="6" t="s">
        <v>44</v>
      </c>
      <c r="B8" s="6" t="s">
        <v>45</v>
      </c>
      <c r="C8" s="6" t="s">
        <v>46</v>
      </c>
      <c r="D8" s="6">
        <v>30</v>
      </c>
      <c r="E8" s="6">
        <v>5</v>
      </c>
      <c r="F8" s="6" t="s">
        <v>29</v>
      </c>
      <c r="G8" s="6">
        <f t="shared" si="0"/>
        <v>150</v>
      </c>
      <c r="K8" s="10" t="str">
        <f t="shared" si="1"/>
        <v>Standard Price</v>
      </c>
      <c r="N8" s="10" t="str">
        <f t="shared" si="2"/>
        <v>19</v>
      </c>
      <c r="O8" s="10" t="str">
        <f t="shared" si="3"/>
        <v>JUL</v>
      </c>
      <c r="P8" s="10" t="str">
        <f t="shared" si="4"/>
        <v>UK</v>
      </c>
    </row>
    <row r="9" spans="1:16" ht="15.75" customHeight="1" x14ac:dyDescent="0.25">
      <c r="A9" s="9" t="s">
        <v>47</v>
      </c>
      <c r="B9" s="9" t="s">
        <v>48</v>
      </c>
      <c r="C9" s="9" t="s">
        <v>49</v>
      </c>
      <c r="D9" s="9">
        <v>90</v>
      </c>
      <c r="E9" s="9">
        <v>35</v>
      </c>
      <c r="F9" s="9" t="s">
        <v>33</v>
      </c>
      <c r="G9" s="6">
        <f t="shared" si="0"/>
        <v>3150</v>
      </c>
      <c r="K9" s="10" t="str">
        <f t="shared" si="1"/>
        <v>Standard Price</v>
      </c>
      <c r="N9" s="10" t="str">
        <f t="shared" si="2"/>
        <v>23</v>
      </c>
      <c r="O9" s="10" t="str">
        <f t="shared" si="3"/>
        <v>AUG</v>
      </c>
      <c r="P9" s="10" t="str">
        <f t="shared" si="4"/>
        <v>UK</v>
      </c>
    </row>
    <row r="10" spans="1:16" ht="15.75" customHeight="1" x14ac:dyDescent="0.25">
      <c r="A10" s="6" t="s">
        <v>50</v>
      </c>
      <c r="B10" s="6" t="s">
        <v>51</v>
      </c>
      <c r="C10" s="6" t="s">
        <v>52</v>
      </c>
      <c r="D10" s="6">
        <v>500</v>
      </c>
      <c r="E10" s="6">
        <v>50</v>
      </c>
      <c r="F10" s="6" t="s">
        <v>25</v>
      </c>
      <c r="G10" s="6">
        <f t="shared" si="0"/>
        <v>25000</v>
      </c>
      <c r="K10" s="10" t="str">
        <f t="shared" si="1"/>
        <v>Higher</v>
      </c>
      <c r="N10" s="10" t="str">
        <f t="shared" si="2"/>
        <v>05</v>
      </c>
      <c r="O10" s="10" t="str">
        <f t="shared" si="3"/>
        <v>SEP</v>
      </c>
      <c r="P10" s="10" t="str">
        <f t="shared" si="4"/>
        <v>UK</v>
      </c>
    </row>
    <row r="11" spans="1:16" ht="15.75" customHeight="1" x14ac:dyDescent="0.25">
      <c r="A11" s="9" t="s">
        <v>53</v>
      </c>
      <c r="B11" s="9" t="s">
        <v>54</v>
      </c>
      <c r="C11" s="9" t="s">
        <v>55</v>
      </c>
      <c r="D11" s="9">
        <v>130</v>
      </c>
      <c r="E11" s="9">
        <v>10</v>
      </c>
      <c r="F11" s="9" t="s">
        <v>40</v>
      </c>
      <c r="G11" s="6">
        <f t="shared" si="0"/>
        <v>1300</v>
      </c>
      <c r="K11" s="10" t="str">
        <f t="shared" si="1"/>
        <v>Standard Price</v>
      </c>
      <c r="N11" s="10" t="str">
        <f t="shared" si="2"/>
        <v>14</v>
      </c>
      <c r="O11" s="10" t="str">
        <f t="shared" si="3"/>
        <v>OCT</v>
      </c>
      <c r="P11" s="10" t="str">
        <f t="shared" si="4"/>
        <v>UK</v>
      </c>
    </row>
    <row r="12" spans="1:16" ht="15.75" customHeight="1" x14ac:dyDescent="0.25">
      <c r="A12" s="6" t="s">
        <v>56</v>
      </c>
      <c r="B12" s="6" t="s">
        <v>23</v>
      </c>
      <c r="C12" s="6" t="s">
        <v>57</v>
      </c>
      <c r="D12" s="6">
        <v>950</v>
      </c>
      <c r="E12" s="6">
        <v>25</v>
      </c>
      <c r="F12" s="6" t="s">
        <v>25</v>
      </c>
      <c r="G12" s="6">
        <f t="shared" si="0"/>
        <v>23750</v>
      </c>
      <c r="K12" s="10" t="str">
        <f t="shared" si="1"/>
        <v>Higher</v>
      </c>
      <c r="N12" s="10" t="str">
        <f t="shared" si="2"/>
        <v>17</v>
      </c>
      <c r="O12" s="10" t="str">
        <f t="shared" si="3"/>
        <v>JUN</v>
      </c>
      <c r="P12" s="10" t="str">
        <f t="shared" si="4"/>
        <v>IN</v>
      </c>
    </row>
    <row r="13" spans="1:16" ht="15.75" customHeight="1" x14ac:dyDescent="0.25">
      <c r="A13" s="9" t="s">
        <v>58</v>
      </c>
      <c r="B13" s="9" t="s">
        <v>27</v>
      </c>
      <c r="C13" s="9" t="s">
        <v>46</v>
      </c>
      <c r="D13" s="9">
        <v>90</v>
      </c>
      <c r="E13" s="9">
        <v>40</v>
      </c>
      <c r="F13" s="9" t="s">
        <v>29</v>
      </c>
      <c r="G13" s="6">
        <f t="shared" si="0"/>
        <v>3600</v>
      </c>
      <c r="K13" s="10" t="str">
        <f t="shared" si="1"/>
        <v>Standard Price</v>
      </c>
      <c r="N13" s="10" t="str">
        <f t="shared" si="2"/>
        <v>25</v>
      </c>
      <c r="O13" s="10" t="str">
        <f t="shared" si="3"/>
        <v>NOV</v>
      </c>
      <c r="P13" s="10" t="str">
        <f t="shared" si="4"/>
        <v>AU</v>
      </c>
    </row>
    <row r="14" spans="1:16" ht="15.75" customHeight="1" x14ac:dyDescent="0.25">
      <c r="A14" s="6" t="s">
        <v>59</v>
      </c>
      <c r="B14" s="6" t="s">
        <v>31</v>
      </c>
      <c r="C14" s="6" t="s">
        <v>60</v>
      </c>
      <c r="D14" s="6">
        <v>120</v>
      </c>
      <c r="E14" s="6">
        <v>35</v>
      </c>
      <c r="F14" s="6" t="s">
        <v>33</v>
      </c>
      <c r="G14" s="6">
        <f t="shared" si="0"/>
        <v>4200</v>
      </c>
      <c r="K14" s="10" t="str">
        <f t="shared" si="1"/>
        <v>Standard Price</v>
      </c>
      <c r="N14" s="10" t="str">
        <f t="shared" si="2"/>
        <v>08</v>
      </c>
      <c r="O14" s="10" t="str">
        <f t="shared" si="3"/>
        <v>DEC</v>
      </c>
      <c r="P14" s="10" t="str">
        <f t="shared" si="4"/>
        <v>DE</v>
      </c>
    </row>
    <row r="15" spans="1:16" ht="15.75" customHeight="1" x14ac:dyDescent="0.25">
      <c r="A15" s="9" t="s">
        <v>61</v>
      </c>
      <c r="B15" s="9" t="s">
        <v>62</v>
      </c>
      <c r="C15" s="9" t="s">
        <v>63</v>
      </c>
      <c r="D15" s="9">
        <v>150</v>
      </c>
      <c r="E15" s="9">
        <v>15</v>
      </c>
      <c r="F15" s="9" t="s">
        <v>25</v>
      </c>
      <c r="G15" s="6">
        <f t="shared" si="0"/>
        <v>2250</v>
      </c>
      <c r="K15" s="10" t="str">
        <f t="shared" si="1"/>
        <v>Standard Price</v>
      </c>
      <c r="N15" s="10" t="str">
        <f t="shared" si="2"/>
        <v>18</v>
      </c>
      <c r="O15" s="10" t="str">
        <f t="shared" si="3"/>
        <v>FEB</v>
      </c>
      <c r="P15" s="10" t="str">
        <f t="shared" si="4"/>
        <v>CA</v>
      </c>
    </row>
    <row r="16" spans="1:16" ht="15.75" customHeight="1" x14ac:dyDescent="0.25">
      <c r="A16" s="6" t="s">
        <v>64</v>
      </c>
      <c r="B16" s="6" t="s">
        <v>42</v>
      </c>
      <c r="C16" s="6" t="s">
        <v>65</v>
      </c>
      <c r="D16" s="6">
        <v>250</v>
      </c>
      <c r="E16" s="6">
        <v>20</v>
      </c>
      <c r="F16" s="6" t="s">
        <v>25</v>
      </c>
      <c r="G16" s="6">
        <f t="shared" si="0"/>
        <v>5000</v>
      </c>
      <c r="K16" s="10" t="str">
        <f t="shared" si="1"/>
        <v>Standard Price</v>
      </c>
      <c r="N16" s="10" t="str">
        <f t="shared" si="2"/>
        <v>16</v>
      </c>
      <c r="O16" s="10" t="str">
        <f t="shared" si="3"/>
        <v>APR</v>
      </c>
      <c r="P16" s="10" t="str">
        <f t="shared" si="4"/>
        <v>ES</v>
      </c>
    </row>
    <row r="17" spans="1:16" ht="15.75" customHeight="1" x14ac:dyDescent="0.25">
      <c r="A17" s="9" t="s">
        <v>66</v>
      </c>
      <c r="B17" s="9" t="s">
        <v>67</v>
      </c>
      <c r="C17" s="9" t="s">
        <v>68</v>
      </c>
      <c r="D17" s="9">
        <v>50</v>
      </c>
      <c r="E17" s="9">
        <v>35</v>
      </c>
      <c r="F17" s="9" t="s">
        <v>69</v>
      </c>
      <c r="G17" s="6">
        <f t="shared" si="0"/>
        <v>1750</v>
      </c>
      <c r="K17" s="10" t="str">
        <f t="shared" si="1"/>
        <v>Standard Price</v>
      </c>
      <c r="N17" s="10" t="str">
        <f t="shared" si="2"/>
        <v>21</v>
      </c>
      <c r="O17" s="10" t="str">
        <f t="shared" si="3"/>
        <v>AUG</v>
      </c>
      <c r="P17" s="10" t="str">
        <f t="shared" si="4"/>
        <v>CA</v>
      </c>
    </row>
    <row r="18" spans="1:16" ht="15.75" customHeight="1" x14ac:dyDescent="0.25">
      <c r="A18" s="6" t="s">
        <v>70</v>
      </c>
      <c r="B18" s="6" t="s">
        <v>62</v>
      </c>
      <c r="C18" s="6" t="s">
        <v>71</v>
      </c>
      <c r="D18" s="6">
        <v>160</v>
      </c>
      <c r="E18" s="6">
        <v>15</v>
      </c>
      <c r="F18" s="6" t="s">
        <v>25</v>
      </c>
      <c r="G18" s="6">
        <f t="shared" si="0"/>
        <v>2400</v>
      </c>
      <c r="K18" s="10" t="str">
        <f t="shared" si="1"/>
        <v>Standard Price</v>
      </c>
      <c r="N18" s="10" t="str">
        <f t="shared" si="2"/>
        <v>20</v>
      </c>
      <c r="O18" s="10" t="str">
        <f t="shared" si="3"/>
        <v>AUG</v>
      </c>
      <c r="P18" s="10" t="str">
        <f t="shared" si="4"/>
        <v>CN</v>
      </c>
    </row>
    <row r="19" spans="1:16" ht="15.75" customHeight="1" x14ac:dyDescent="0.25">
      <c r="A19" s="9" t="s">
        <v>72</v>
      </c>
      <c r="B19" s="9" t="s">
        <v>23</v>
      </c>
      <c r="C19" s="9" t="s">
        <v>73</v>
      </c>
      <c r="D19" s="9">
        <v>980</v>
      </c>
      <c r="E19" s="9">
        <v>10</v>
      </c>
      <c r="F19" s="9" t="s">
        <v>25</v>
      </c>
      <c r="G19" s="6">
        <f t="shared" si="0"/>
        <v>9800</v>
      </c>
      <c r="K19" s="10" t="str">
        <f t="shared" si="1"/>
        <v>Higher</v>
      </c>
      <c r="N19" s="10" t="str">
        <f t="shared" si="2"/>
        <v>27</v>
      </c>
      <c r="O19" s="10" t="str">
        <f t="shared" si="3"/>
        <v>JAN</v>
      </c>
      <c r="P19" s="10" t="str">
        <f t="shared" si="4"/>
        <v>IT</v>
      </c>
    </row>
    <row r="20" spans="1:16" ht="15.75" customHeight="1" x14ac:dyDescent="0.25">
      <c r="A20" s="6" t="s">
        <v>74</v>
      </c>
      <c r="B20" s="6" t="s">
        <v>75</v>
      </c>
      <c r="C20" s="6" t="s">
        <v>76</v>
      </c>
      <c r="D20" s="6">
        <v>150</v>
      </c>
      <c r="E20" s="6">
        <v>15</v>
      </c>
      <c r="F20" s="6" t="s">
        <v>29</v>
      </c>
      <c r="G20" s="6">
        <f t="shared" si="0"/>
        <v>2250</v>
      </c>
      <c r="K20" s="10" t="str">
        <f t="shared" si="1"/>
        <v>Standard Price</v>
      </c>
      <c r="N20" s="10" t="str">
        <f t="shared" si="2"/>
        <v>01</v>
      </c>
      <c r="O20" s="10" t="str">
        <f t="shared" si="3"/>
        <v>MAR</v>
      </c>
      <c r="P20" s="10" t="str">
        <f t="shared" si="4"/>
        <v>UK</v>
      </c>
    </row>
    <row r="21" spans="1:16" ht="15.75" customHeight="1" x14ac:dyDescent="0.25">
      <c r="A21" s="9" t="s">
        <v>77</v>
      </c>
      <c r="B21" s="9" t="s">
        <v>78</v>
      </c>
      <c r="C21" s="9" t="s">
        <v>79</v>
      </c>
      <c r="D21" s="9">
        <v>200</v>
      </c>
      <c r="E21" s="9">
        <v>10</v>
      </c>
      <c r="F21" s="9" t="s">
        <v>40</v>
      </c>
      <c r="G21" s="6">
        <f t="shared" si="0"/>
        <v>2000</v>
      </c>
      <c r="K21" s="10" t="str">
        <f t="shared" si="1"/>
        <v>Standard Price</v>
      </c>
      <c r="N21" s="10" t="str">
        <f t="shared" si="2"/>
        <v>14</v>
      </c>
      <c r="O21" s="10" t="str">
        <f t="shared" si="3"/>
        <v>AUG</v>
      </c>
      <c r="P21" s="10" t="str">
        <f t="shared" si="4"/>
        <v>US</v>
      </c>
    </row>
    <row r="22" spans="1:16" ht="15.75" customHeight="1" x14ac:dyDescent="0.25">
      <c r="A22" s="6" t="s">
        <v>80</v>
      </c>
      <c r="B22" s="6" t="s">
        <v>81</v>
      </c>
      <c r="C22" s="6" t="s">
        <v>82</v>
      </c>
      <c r="D22" s="6">
        <v>700</v>
      </c>
      <c r="E22" s="6">
        <v>50</v>
      </c>
      <c r="F22" s="6" t="s">
        <v>25</v>
      </c>
      <c r="G22" s="6">
        <f t="shared" si="0"/>
        <v>35000</v>
      </c>
      <c r="K22" s="10" t="str">
        <f t="shared" si="1"/>
        <v>Higher</v>
      </c>
      <c r="N22" s="10" t="str">
        <f t="shared" si="2"/>
        <v>14</v>
      </c>
      <c r="O22" s="10" t="str">
        <f t="shared" si="3"/>
        <v>MAY</v>
      </c>
      <c r="P22" s="10" t="str">
        <f t="shared" si="4"/>
        <v>RU</v>
      </c>
    </row>
    <row r="23" spans="1:16" ht="15.75" customHeight="1" x14ac:dyDescent="0.25">
      <c r="A23" s="9" t="s">
        <v>83</v>
      </c>
      <c r="B23" s="9" t="s">
        <v>84</v>
      </c>
      <c r="C23" s="9" t="s">
        <v>85</v>
      </c>
      <c r="D23" s="9">
        <v>80</v>
      </c>
      <c r="E23" s="9">
        <v>20</v>
      </c>
      <c r="F23" s="9" t="s">
        <v>33</v>
      </c>
      <c r="G23" s="6">
        <f t="shared" si="0"/>
        <v>1600</v>
      </c>
      <c r="K23" s="10" t="str">
        <f t="shared" si="1"/>
        <v>Standard Price</v>
      </c>
      <c r="N23" s="10" t="str">
        <f t="shared" si="2"/>
        <v>09</v>
      </c>
      <c r="O23" s="10" t="str">
        <f t="shared" si="3"/>
        <v>JAN</v>
      </c>
      <c r="P23" s="10" t="str">
        <f t="shared" si="4"/>
        <v>CA</v>
      </c>
    </row>
    <row r="24" spans="1:16" ht="15.75" customHeight="1" x14ac:dyDescent="0.25">
      <c r="A24" s="6" t="s">
        <v>86</v>
      </c>
      <c r="B24" s="6" t="s">
        <v>87</v>
      </c>
      <c r="C24" s="6" t="s">
        <v>88</v>
      </c>
      <c r="D24" s="6">
        <v>150</v>
      </c>
      <c r="E24" s="6">
        <v>30</v>
      </c>
      <c r="F24" s="6" t="s">
        <v>25</v>
      </c>
      <c r="G24" s="6">
        <f t="shared" si="0"/>
        <v>4500</v>
      </c>
      <c r="K24" s="10" t="str">
        <f t="shared" si="1"/>
        <v>Standard Price</v>
      </c>
      <c r="N24" s="10" t="str">
        <f t="shared" si="2"/>
        <v>19</v>
      </c>
      <c r="O24" s="10" t="str">
        <f t="shared" si="3"/>
        <v>JUL</v>
      </c>
      <c r="P24" s="10" t="str">
        <f t="shared" si="4"/>
        <v>BR</v>
      </c>
    </row>
    <row r="25" spans="1:16" ht="15.75" customHeight="1" x14ac:dyDescent="0.25">
      <c r="A25" s="9" t="s">
        <v>66</v>
      </c>
      <c r="B25" s="9" t="s">
        <v>67</v>
      </c>
      <c r="C25" s="9" t="s">
        <v>68</v>
      </c>
      <c r="D25" s="9">
        <v>50</v>
      </c>
      <c r="E25" s="9">
        <v>35</v>
      </c>
      <c r="F25" s="9" t="s">
        <v>69</v>
      </c>
      <c r="G25" s="6">
        <f t="shared" si="0"/>
        <v>1750</v>
      </c>
      <c r="K25" s="10" t="str">
        <f t="shared" si="1"/>
        <v>Standard Price</v>
      </c>
      <c r="N25" s="10" t="str">
        <f t="shared" si="2"/>
        <v>21</v>
      </c>
      <c r="O25" s="10" t="str">
        <f t="shared" si="3"/>
        <v>AUG</v>
      </c>
      <c r="P25" s="10" t="str">
        <f t="shared" si="4"/>
        <v>CA</v>
      </c>
    </row>
    <row r="26" spans="1:16" ht="15.75" customHeight="1" x14ac:dyDescent="0.25">
      <c r="A26" s="6" t="s">
        <v>89</v>
      </c>
      <c r="B26" s="6" t="s">
        <v>35</v>
      </c>
      <c r="C26" s="6" t="s">
        <v>90</v>
      </c>
      <c r="D26" s="6">
        <v>800</v>
      </c>
      <c r="E26" s="6">
        <v>45</v>
      </c>
      <c r="F26" s="6" t="s">
        <v>25</v>
      </c>
      <c r="G26" s="6">
        <f t="shared" si="0"/>
        <v>36000</v>
      </c>
      <c r="K26" s="10" t="str">
        <f t="shared" si="1"/>
        <v>Higher</v>
      </c>
      <c r="N26" s="10" t="str">
        <f t="shared" si="2"/>
        <v>29</v>
      </c>
      <c r="O26" s="10" t="str">
        <f t="shared" si="3"/>
        <v>SEP</v>
      </c>
      <c r="P26" s="10" t="str">
        <f t="shared" si="4"/>
        <v>CA</v>
      </c>
    </row>
    <row r="27" spans="1:16" ht="15.75" customHeight="1" x14ac:dyDescent="0.25">
      <c r="A27" s="9" t="s">
        <v>91</v>
      </c>
      <c r="B27" s="9" t="s">
        <v>75</v>
      </c>
      <c r="C27" s="9" t="s">
        <v>92</v>
      </c>
      <c r="D27" s="9">
        <v>130</v>
      </c>
      <c r="E27" s="9">
        <v>25</v>
      </c>
      <c r="F27" s="9" t="s">
        <v>29</v>
      </c>
      <c r="G27" s="6">
        <f t="shared" si="0"/>
        <v>3250</v>
      </c>
      <c r="K27" s="10" t="str">
        <f t="shared" si="1"/>
        <v>Standard Price</v>
      </c>
      <c r="N27" s="10" t="str">
        <f t="shared" si="2"/>
        <v>03</v>
      </c>
      <c r="O27" s="10" t="str">
        <f t="shared" si="3"/>
        <v>JUN</v>
      </c>
      <c r="P27" s="10" t="str">
        <f t="shared" si="4"/>
        <v>CA</v>
      </c>
    </row>
    <row r="28" spans="1:16" ht="15.75" customHeight="1" x14ac:dyDescent="0.25">
      <c r="A28" s="6" t="s">
        <v>93</v>
      </c>
      <c r="B28" s="6" t="s">
        <v>48</v>
      </c>
      <c r="C28" s="6" t="s">
        <v>94</v>
      </c>
      <c r="D28" s="6">
        <v>400</v>
      </c>
      <c r="E28" s="6">
        <v>40</v>
      </c>
      <c r="F28" s="6" t="s">
        <v>33</v>
      </c>
      <c r="G28" s="6">
        <f t="shared" si="0"/>
        <v>16000</v>
      </c>
      <c r="K28" s="10" t="str">
        <f t="shared" si="1"/>
        <v>Standard Price</v>
      </c>
      <c r="N28" s="10" t="str">
        <f t="shared" si="2"/>
        <v>11</v>
      </c>
      <c r="O28" s="10" t="str">
        <f t="shared" si="3"/>
        <v>JUL</v>
      </c>
      <c r="P28" s="10" t="str">
        <f t="shared" si="4"/>
        <v>CA</v>
      </c>
    </row>
    <row r="29" spans="1:16" ht="15.75" customHeight="1" x14ac:dyDescent="0.25">
      <c r="A29" s="9" t="s">
        <v>64</v>
      </c>
      <c r="B29" s="9" t="s">
        <v>42</v>
      </c>
      <c r="C29" s="9" t="s">
        <v>65</v>
      </c>
      <c r="D29" s="9">
        <v>230</v>
      </c>
      <c r="E29" s="9">
        <v>20</v>
      </c>
      <c r="F29" s="9" t="s">
        <v>25</v>
      </c>
      <c r="G29" s="6">
        <f t="shared" si="0"/>
        <v>4600</v>
      </c>
      <c r="K29" s="10" t="str">
        <f t="shared" si="1"/>
        <v>Standard Price</v>
      </c>
      <c r="N29" s="10" t="str">
        <f t="shared" si="2"/>
        <v>16</v>
      </c>
      <c r="O29" s="10" t="str">
        <f t="shared" si="3"/>
        <v>APR</v>
      </c>
      <c r="P29" s="10" t="str">
        <f t="shared" si="4"/>
        <v>ES</v>
      </c>
    </row>
    <row r="30" spans="1:16" ht="15.75" customHeight="1" x14ac:dyDescent="0.25">
      <c r="A30" s="6" t="s">
        <v>95</v>
      </c>
      <c r="B30" s="6" t="s">
        <v>96</v>
      </c>
      <c r="C30" s="6" t="s">
        <v>97</v>
      </c>
      <c r="D30" s="6">
        <v>60</v>
      </c>
      <c r="E30" s="6">
        <v>30</v>
      </c>
      <c r="F30" s="6" t="s">
        <v>29</v>
      </c>
      <c r="G30" s="6">
        <f t="shared" si="0"/>
        <v>1800</v>
      </c>
      <c r="K30" s="10" t="str">
        <f t="shared" si="1"/>
        <v>Standard Price</v>
      </c>
      <c r="N30" s="10" t="str">
        <f t="shared" si="2"/>
        <v>07</v>
      </c>
      <c r="O30" s="10" t="str">
        <f t="shared" si="3"/>
        <v>MAR</v>
      </c>
      <c r="P30" s="10" t="str">
        <f t="shared" si="4"/>
        <v>CA</v>
      </c>
    </row>
    <row r="31" spans="1:16" ht="15.75" customHeight="1" x14ac:dyDescent="0.25">
      <c r="A31" s="9" t="s">
        <v>98</v>
      </c>
      <c r="B31" s="9" t="s">
        <v>99</v>
      </c>
      <c r="C31" s="9" t="s">
        <v>100</v>
      </c>
      <c r="D31" s="9">
        <v>40</v>
      </c>
      <c r="E31" s="9">
        <v>10</v>
      </c>
      <c r="F31" s="9" t="s">
        <v>33</v>
      </c>
      <c r="G31" s="6">
        <f t="shared" si="0"/>
        <v>400</v>
      </c>
      <c r="K31" s="10" t="str">
        <f t="shared" si="1"/>
        <v>Standard Price</v>
      </c>
      <c r="N31" s="10" t="str">
        <f t="shared" si="2"/>
        <v>13</v>
      </c>
      <c r="O31" s="10" t="str">
        <f t="shared" si="3"/>
        <v>APR</v>
      </c>
      <c r="P31" s="10" t="str">
        <f t="shared" si="4"/>
        <v>CA</v>
      </c>
    </row>
    <row r="32" spans="1:16" ht="15.75" customHeight="1" x14ac:dyDescent="0.25">
      <c r="A32" s="6" t="s">
        <v>101</v>
      </c>
      <c r="B32" s="6" t="s">
        <v>87</v>
      </c>
      <c r="C32" s="6" t="s">
        <v>102</v>
      </c>
      <c r="D32" s="6">
        <v>130</v>
      </c>
      <c r="E32" s="6">
        <v>5</v>
      </c>
      <c r="F32" s="6" t="s">
        <v>25</v>
      </c>
      <c r="G32" s="6">
        <f t="shared" si="0"/>
        <v>650</v>
      </c>
      <c r="K32" s="10" t="str">
        <f t="shared" si="1"/>
        <v>Standard Price</v>
      </c>
      <c r="N32" s="10" t="str">
        <f t="shared" si="2"/>
        <v>24</v>
      </c>
      <c r="O32" s="10" t="str">
        <f t="shared" si="3"/>
        <v>MAY</v>
      </c>
      <c r="P32" s="10" t="str">
        <f t="shared" si="4"/>
        <v>CA</v>
      </c>
    </row>
    <row r="33" spans="1:16" ht="15.75" customHeight="1" x14ac:dyDescent="0.25">
      <c r="A33" s="9" t="s">
        <v>103</v>
      </c>
      <c r="B33" s="9" t="s">
        <v>104</v>
      </c>
      <c r="C33" s="9" t="s">
        <v>105</v>
      </c>
      <c r="D33" s="9">
        <v>50</v>
      </c>
      <c r="E33" s="9">
        <v>50</v>
      </c>
      <c r="F33" s="9" t="s">
        <v>29</v>
      </c>
      <c r="G33" s="6">
        <f t="shared" si="0"/>
        <v>2500</v>
      </c>
      <c r="K33" s="10" t="str">
        <f t="shared" si="1"/>
        <v>Standard Price</v>
      </c>
      <c r="N33" s="10" t="str">
        <f t="shared" si="2"/>
        <v>02</v>
      </c>
      <c r="O33" s="10" t="str">
        <f t="shared" si="3"/>
        <v>DEC</v>
      </c>
      <c r="P33" s="10" t="str">
        <f t="shared" si="4"/>
        <v>CA</v>
      </c>
    </row>
    <row r="34" spans="1:16" ht="15.75" customHeight="1" x14ac:dyDescent="0.25">
      <c r="A34" s="6" t="s">
        <v>56</v>
      </c>
      <c r="B34" s="6" t="s">
        <v>23</v>
      </c>
      <c r="C34" s="6" t="s">
        <v>57</v>
      </c>
      <c r="D34" s="6">
        <v>950</v>
      </c>
      <c r="E34" s="6">
        <v>25</v>
      </c>
      <c r="F34" s="6" t="s">
        <v>25</v>
      </c>
      <c r="G34" s="6">
        <f t="shared" si="0"/>
        <v>23750</v>
      </c>
      <c r="K34" s="10" t="str">
        <f t="shared" si="1"/>
        <v>Higher</v>
      </c>
      <c r="N34" s="10" t="str">
        <f t="shared" si="2"/>
        <v>17</v>
      </c>
      <c r="O34" s="10" t="str">
        <f t="shared" si="3"/>
        <v>JUN</v>
      </c>
      <c r="P34" s="10" t="str">
        <f t="shared" si="4"/>
        <v>IN</v>
      </c>
    </row>
    <row r="35" spans="1:16" ht="15.75" customHeight="1" x14ac:dyDescent="0.25">
      <c r="A35" s="9" t="s">
        <v>106</v>
      </c>
      <c r="B35" s="9" t="s">
        <v>107</v>
      </c>
      <c r="C35" s="9" t="s">
        <v>108</v>
      </c>
      <c r="D35" s="9">
        <v>100</v>
      </c>
      <c r="E35" s="9">
        <v>20</v>
      </c>
      <c r="F35" s="9" t="s">
        <v>69</v>
      </c>
      <c r="G35" s="6">
        <f t="shared" si="0"/>
        <v>2000</v>
      </c>
      <c r="K35" s="10" t="str">
        <f t="shared" si="1"/>
        <v>Standard Price</v>
      </c>
      <c r="N35" s="10" t="str">
        <f t="shared" si="2"/>
        <v>09</v>
      </c>
      <c r="O35" s="10" t="str">
        <f t="shared" si="3"/>
        <v>JUL</v>
      </c>
      <c r="P35" s="10" t="str">
        <f t="shared" si="4"/>
        <v>FR</v>
      </c>
    </row>
    <row r="36" spans="1:16" ht="15.75" customHeight="1" x14ac:dyDescent="0.25">
      <c r="A36" s="10"/>
      <c r="B36" s="10"/>
      <c r="C36" s="10"/>
      <c r="D36" s="10"/>
      <c r="E36" s="7">
        <f>SUM(E2:E35)</f>
        <v>900</v>
      </c>
      <c r="F36" s="10"/>
      <c r="G36" s="7">
        <f>SUM(G2:G35)</f>
        <v>289700</v>
      </c>
    </row>
    <row r="37" spans="1:16" ht="15.75" customHeight="1" x14ac:dyDescent="0.25">
      <c r="G37" s="5"/>
    </row>
    <row r="38" spans="1:16" ht="15.75" customHeight="1" x14ac:dyDescent="0.25">
      <c r="G38" s="5"/>
    </row>
    <row r="39" spans="1:16" ht="15.75" customHeight="1" x14ac:dyDescent="0.25">
      <c r="G39" s="5"/>
    </row>
    <row r="40" spans="1:16" ht="15.75" customHeight="1" x14ac:dyDescent="0.25">
      <c r="G40" s="5"/>
    </row>
    <row r="41" spans="1:16" ht="15.75" customHeight="1" x14ac:dyDescent="0.25">
      <c r="G41" s="5"/>
    </row>
    <row r="42" spans="1:16" ht="15.75" customHeight="1" x14ac:dyDescent="0.25">
      <c r="G42" s="5"/>
    </row>
    <row r="43" spans="1:16" ht="15.75" customHeight="1" x14ac:dyDescent="0.25">
      <c r="G43" s="5"/>
    </row>
    <row r="44" spans="1:16" ht="15.75" customHeight="1" x14ac:dyDescent="0.25">
      <c r="G44" s="5"/>
    </row>
    <row r="45" spans="1:16" ht="15.75" customHeight="1" x14ac:dyDescent="0.25">
      <c r="G45" s="5"/>
    </row>
    <row r="46" spans="1:16" ht="15.75" customHeight="1" x14ac:dyDescent="0.25">
      <c r="G46" s="5"/>
    </row>
    <row r="47" spans="1:16" ht="15.75" customHeight="1" x14ac:dyDescent="0.25">
      <c r="G47" s="5">
        <f t="shared" si="0"/>
        <v>0</v>
      </c>
    </row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K36" xr:uid="{00000000-0001-0000-01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c</dc:creator>
  <cp:lastModifiedBy>Mukesh c</cp:lastModifiedBy>
  <dcterms:created xsi:type="dcterms:W3CDTF">2025-11-09T18:48:11Z</dcterms:created>
  <dcterms:modified xsi:type="dcterms:W3CDTF">2025-11-16T06:42:14Z</dcterms:modified>
</cp:coreProperties>
</file>