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Assignment 2 -ENTRI/"/>
    </mc:Choice>
  </mc:AlternateContent>
  <xr:revisionPtr revIDLastSave="14" documentId="8_{E80FD799-9A02-4211-8578-56EFF39A2CB0}" xr6:coauthVersionLast="47" xr6:coauthVersionMax="47" xr10:uidLastSave="{86E3571F-BBE0-473B-9D08-612C7ABDD0FD}"/>
  <bookViews>
    <workbookView xWindow="-108" yWindow="-108" windowWidth="23256" windowHeight="12456" xr2:uid="{C14EED06-A622-4AC2-9071-5CB1CF481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D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<sst xmlns="http://schemas.openxmlformats.org/spreadsheetml/2006/main" count="177" uniqueCount="95">
  <si>
    <t>Product ID</t>
  </si>
  <si>
    <t>Product Name</t>
  </si>
  <si>
    <t>Brand Name</t>
  </si>
  <si>
    <t>Price ($)</t>
  </si>
  <si>
    <t>Quantity</t>
  </si>
  <si>
    <t>Category</t>
  </si>
  <si>
    <t>Blank Status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</si>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</sst>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8D9E-DBF0-454E-ABBF-517CB6B3D62C}">
  <dimension ref="A1:K36"/>
  <sheetViews>
    <sheetView tabSelected="1" view="pageBreakPreview" zoomScale="60" zoomScaleNormal="100" workbookViewId="0">
      <selection sqref="A1:K36"/>
    </sheetView>
  </sheetViews>
  <sheetFormatPr defaultRowHeight="14.4" x14ac:dyDescent="0.3"/>
  <cols>
    <col min="1" max="1" width="12.6640625" customWidth="1"/>
    <col min="2" max="2" width="13.21875" customWidth="1"/>
    <col min="3" max="7" width="12.6640625" customWidth="1"/>
    <col min="8" max="8" width="12.109375" bestFit="1" customWidth="1"/>
    <col min="9" max="9" width="10.44140625" bestFit="1" customWidth="1"/>
    <col min="11" max="11" width="13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</v>
      </c>
      <c r="H1" s="2" t="s">
        <v>6</v>
      </c>
      <c r="I1" s="2" t="s">
        <v>5</v>
      </c>
      <c r="J1" s="2" t="s">
        <v>4</v>
      </c>
      <c r="K1" s="1" t="s">
        <v>1</v>
      </c>
    </row>
    <row r="2" spans="1:11" x14ac:dyDescent="0.3">
      <c r="A2" s="3" t="s">
        <v>7</v>
      </c>
      <c r="B2" s="3" t="s">
        <v>8</v>
      </c>
      <c r="C2" s="3" t="s">
        <v>9</v>
      </c>
      <c r="D2" s="3">
        <v>1000</v>
      </c>
      <c r="E2" s="3">
        <v>30</v>
      </c>
      <c r="F2" s="3" t="s">
        <v>10</v>
      </c>
      <c r="G2" s="3" t="s">
        <v>8</v>
      </c>
      <c r="H2" s="4" t="b" cm="1">
        <f t="array" ref="H2:H35">ISBLANK(D2:D35)</f>
        <v>0</v>
      </c>
      <c r="I2" s="6" t="str">
        <f>IF(ISBLANK(F2),"UNKOWN",F2)</f>
        <v>Electronics</v>
      </c>
      <c r="J2" s="6">
        <f>IF(ISBLANK(D2),AVERAGE(D2:D35),D2)</f>
        <v>1000</v>
      </c>
      <c r="K2" s="6" t="str">
        <f>TRIM(G2)</f>
        <v>Laptop</v>
      </c>
    </row>
    <row r="3" spans="1:11" x14ac:dyDescent="0.3">
      <c r="A3" s="6" t="s">
        <v>11</v>
      </c>
      <c r="B3" s="6" t="s">
        <v>12</v>
      </c>
      <c r="C3" s="6" t="s">
        <v>13</v>
      </c>
      <c r="D3" s="6">
        <v>80</v>
      </c>
      <c r="E3" s="6">
        <v>15</v>
      </c>
      <c r="F3" s="6" t="s">
        <v>14</v>
      </c>
      <c r="G3" s="6" t="s">
        <v>12</v>
      </c>
      <c r="H3" s="5" t="b">
        <v>0</v>
      </c>
      <c r="I3" s="3" t="str">
        <f t="shared" ref="I3:I30" si="0">IF(ISBLANK(F3),"UNKOWN",F3)</f>
        <v>Fashion</v>
      </c>
      <c r="J3" s="3">
        <f>IF(ISBLANK(D3),AVERAGE($D$2:$D$35),D3)</f>
        <v>80</v>
      </c>
      <c r="K3" s="3" t="str">
        <f t="shared" ref="K3:K35" si="1">TRIM(G3)</f>
        <v>Sneakers</v>
      </c>
    </row>
    <row r="4" spans="1:11" x14ac:dyDescent="0.3">
      <c r="A4" s="3" t="s">
        <v>15</v>
      </c>
      <c r="B4" s="3" t="s">
        <v>16</v>
      </c>
      <c r="C4" s="3" t="s">
        <v>17</v>
      </c>
      <c r="D4" s="3">
        <v>130</v>
      </c>
      <c r="E4" s="3">
        <v>40</v>
      </c>
      <c r="F4" s="3" t="s">
        <v>18</v>
      </c>
      <c r="G4" s="3" t="s">
        <v>16</v>
      </c>
      <c r="H4" s="4" t="b">
        <v>0</v>
      </c>
      <c r="I4" s="6" t="str">
        <f t="shared" si="0"/>
        <v>Kitchen</v>
      </c>
      <c r="J4" s="6">
        <f t="shared" ref="J4:J35" si="2">IF(ISBLANK(D4),AVERAGE($D$2:$D$35),D4)</f>
        <v>130</v>
      </c>
      <c r="K4" s="6" t="str">
        <f t="shared" si="1"/>
        <v>Coffee Maker</v>
      </c>
    </row>
    <row r="5" spans="1:11" x14ac:dyDescent="0.3">
      <c r="A5" s="6" t="s">
        <v>19</v>
      </c>
      <c r="B5" s="6" t="s">
        <v>20</v>
      </c>
      <c r="C5" s="6" t="s">
        <v>21</v>
      </c>
      <c r="D5" s="6">
        <v>900</v>
      </c>
      <c r="E5" s="6">
        <v>25</v>
      </c>
      <c r="F5" s="6" t="s">
        <v>10</v>
      </c>
      <c r="G5" s="6" t="s">
        <v>20</v>
      </c>
      <c r="H5" s="5" t="b">
        <v>0</v>
      </c>
      <c r="I5" s="3" t="str">
        <f t="shared" si="0"/>
        <v>Electronics</v>
      </c>
      <c r="J5" s="3">
        <f t="shared" si="2"/>
        <v>900</v>
      </c>
      <c r="K5" s="3" t="str">
        <f t="shared" si="1"/>
        <v>Smartphone</v>
      </c>
    </row>
    <row r="6" spans="1:11" x14ac:dyDescent="0.3">
      <c r="A6" s="3" t="s">
        <v>22</v>
      </c>
      <c r="B6" s="3" t="s">
        <v>23</v>
      </c>
      <c r="C6" s="3" t="s">
        <v>24</v>
      </c>
      <c r="D6" s="3">
        <v>70</v>
      </c>
      <c r="E6" s="3">
        <v>20</v>
      </c>
      <c r="F6" s="3"/>
      <c r="G6" s="3" t="s">
        <v>23</v>
      </c>
      <c r="H6" s="4" t="b">
        <v>0</v>
      </c>
      <c r="I6" s="6" t="str">
        <f t="shared" si="0"/>
        <v>UNKOWN</v>
      </c>
      <c r="J6" s="6">
        <f t="shared" si="2"/>
        <v>70</v>
      </c>
      <c r="K6" s="6" t="str">
        <f t="shared" si="1"/>
        <v>Backpack</v>
      </c>
    </row>
    <row r="7" spans="1:11" x14ac:dyDescent="0.3">
      <c r="A7" s="6" t="s">
        <v>25</v>
      </c>
      <c r="B7" s="6" t="s">
        <v>26</v>
      </c>
      <c r="C7" s="6" t="s">
        <v>27</v>
      </c>
      <c r="D7" s="6"/>
      <c r="E7" s="6">
        <v>45</v>
      </c>
      <c r="F7" s="6" t="s">
        <v>28</v>
      </c>
      <c r="G7" s="6" t="s">
        <v>26</v>
      </c>
      <c r="H7" s="5" t="b">
        <v>1</v>
      </c>
      <c r="I7" s="3" t="str">
        <f t="shared" si="0"/>
        <v>Electroni</v>
      </c>
      <c r="J7" s="7">
        <f t="shared" si="2"/>
        <v>309.35483870967744</v>
      </c>
      <c r="K7" s="3" t="str">
        <f t="shared" si="1"/>
        <v>Headphones</v>
      </c>
    </row>
    <row r="8" spans="1:11" x14ac:dyDescent="0.3">
      <c r="A8" s="3" t="s">
        <v>29</v>
      </c>
      <c r="B8" s="3" t="s">
        <v>30</v>
      </c>
      <c r="C8" s="3" t="s">
        <v>31</v>
      </c>
      <c r="D8" s="3">
        <v>30</v>
      </c>
      <c r="E8" s="3">
        <v>5</v>
      </c>
      <c r="F8" s="3" t="s">
        <v>14</v>
      </c>
      <c r="G8" s="3" t="s">
        <v>30</v>
      </c>
      <c r="H8" s="4" t="b">
        <v>0</v>
      </c>
      <c r="I8" s="6" t="str">
        <f t="shared" si="0"/>
        <v>Fashion</v>
      </c>
      <c r="J8" s="6">
        <f t="shared" si="2"/>
        <v>30</v>
      </c>
      <c r="K8" s="6" t="str">
        <f t="shared" si="1"/>
        <v>T-shirt</v>
      </c>
    </row>
    <row r="9" spans="1:11" x14ac:dyDescent="0.3">
      <c r="A9" s="6" t="s">
        <v>32</v>
      </c>
      <c r="B9" s="6" t="s">
        <v>33</v>
      </c>
      <c r="C9" s="6" t="s">
        <v>34</v>
      </c>
      <c r="D9" s="6">
        <v>90</v>
      </c>
      <c r="E9" s="6">
        <v>35</v>
      </c>
      <c r="F9" s="6" t="s">
        <v>18</v>
      </c>
      <c r="G9" s="6" t="s">
        <v>33</v>
      </c>
      <c r="H9" s="5" t="b">
        <v>0</v>
      </c>
      <c r="I9" s="3" t="str">
        <f t="shared" si="0"/>
        <v>Kitchen</v>
      </c>
      <c r="J9" s="3">
        <f t="shared" si="2"/>
        <v>90</v>
      </c>
      <c r="K9" s="3" t="str">
        <f t="shared" si="1"/>
        <v>Blender</v>
      </c>
    </row>
    <row r="10" spans="1:11" x14ac:dyDescent="0.3">
      <c r="A10" s="3" t="s">
        <v>35</v>
      </c>
      <c r="B10" s="3" t="s">
        <v>36</v>
      </c>
      <c r="C10" s="3" t="s">
        <v>37</v>
      </c>
      <c r="D10" s="3">
        <v>500</v>
      </c>
      <c r="E10" s="3">
        <v>50</v>
      </c>
      <c r="F10" s="3" t="s">
        <v>10</v>
      </c>
      <c r="G10" s="3" t="s">
        <v>36</v>
      </c>
      <c r="H10" s="4" t="b">
        <v>0</v>
      </c>
      <c r="I10" s="6" t="str">
        <f t="shared" si="0"/>
        <v>Electronics</v>
      </c>
      <c r="J10" s="6">
        <f t="shared" si="2"/>
        <v>500</v>
      </c>
      <c r="K10" s="6" t="str">
        <f t="shared" si="1"/>
        <v>Tablet</v>
      </c>
    </row>
    <row r="11" spans="1:11" x14ac:dyDescent="0.3">
      <c r="A11" s="6" t="s">
        <v>38</v>
      </c>
      <c r="B11" s="6" t="s">
        <v>39</v>
      </c>
      <c r="C11" s="6" t="s">
        <v>40</v>
      </c>
      <c r="D11" s="6">
        <v>130</v>
      </c>
      <c r="E11" s="6">
        <v>10</v>
      </c>
      <c r="F11" s="6" t="s">
        <v>41</v>
      </c>
      <c r="G11" s="6" t="s">
        <v>39</v>
      </c>
      <c r="H11" s="5" t="b">
        <v>0</v>
      </c>
      <c r="I11" s="3" t="str">
        <f t="shared" si="0"/>
        <v>Outdoor</v>
      </c>
      <c r="J11" s="3">
        <f t="shared" si="2"/>
        <v>130</v>
      </c>
      <c r="K11" s="3" t="str">
        <f t="shared" si="1"/>
        <v>Hiking Boots</v>
      </c>
    </row>
    <row r="12" spans="1:11" x14ac:dyDescent="0.3">
      <c r="A12" s="3" t="s">
        <v>42</v>
      </c>
      <c r="B12" s="3" t="s">
        <v>8</v>
      </c>
      <c r="C12" s="3" t="s">
        <v>43</v>
      </c>
      <c r="D12" s="3">
        <v>950</v>
      </c>
      <c r="E12" s="3">
        <v>25</v>
      </c>
      <c r="F12" s="3" t="s">
        <v>10</v>
      </c>
      <c r="G12" s="3" t="s">
        <v>8</v>
      </c>
      <c r="H12" s="4" t="b">
        <v>0</v>
      </c>
      <c r="I12" s="6" t="str">
        <f t="shared" si="0"/>
        <v>Electronics</v>
      </c>
      <c r="J12" s="6">
        <f t="shared" si="2"/>
        <v>950</v>
      </c>
      <c r="K12" s="6" t="str">
        <f t="shared" si="1"/>
        <v>Laptop</v>
      </c>
    </row>
    <row r="13" spans="1:11" x14ac:dyDescent="0.3">
      <c r="A13" s="6" t="s">
        <v>44</v>
      </c>
      <c r="B13" s="6" t="s">
        <v>12</v>
      </c>
      <c r="C13" s="6" t="s">
        <v>31</v>
      </c>
      <c r="D13" s="6">
        <v>90</v>
      </c>
      <c r="E13" s="6">
        <v>40</v>
      </c>
      <c r="F13" s="6"/>
      <c r="G13" s="6" t="s">
        <v>12</v>
      </c>
      <c r="H13" s="5" t="b">
        <v>0</v>
      </c>
      <c r="I13" s="3" t="str">
        <f t="shared" si="0"/>
        <v>UNKOWN</v>
      </c>
      <c r="J13" s="3">
        <f t="shared" si="2"/>
        <v>90</v>
      </c>
      <c r="K13" s="3" t="str">
        <f t="shared" si="1"/>
        <v>Sneakers</v>
      </c>
    </row>
    <row r="14" spans="1:11" x14ac:dyDescent="0.3">
      <c r="A14" s="3" t="s">
        <v>45</v>
      </c>
      <c r="B14" s="3" t="s">
        <v>16</v>
      </c>
      <c r="C14" s="3" t="s">
        <v>46</v>
      </c>
      <c r="D14" s="3">
        <v>120</v>
      </c>
      <c r="E14" s="3">
        <v>35</v>
      </c>
      <c r="F14" s="3"/>
      <c r="G14" s="3" t="s">
        <v>16</v>
      </c>
      <c r="H14" s="4" t="b">
        <v>0</v>
      </c>
      <c r="I14" s="6" t="str">
        <f t="shared" si="0"/>
        <v>UNKOWN</v>
      </c>
      <c r="J14" s="6">
        <f t="shared" si="2"/>
        <v>120</v>
      </c>
      <c r="K14" s="6" t="str">
        <f t="shared" si="1"/>
        <v>Coffee Maker</v>
      </c>
    </row>
    <row r="15" spans="1:11" x14ac:dyDescent="0.3">
      <c r="A15" s="6" t="s">
        <v>47</v>
      </c>
      <c r="B15" s="6" t="s">
        <v>48</v>
      </c>
      <c r="C15" s="6" t="s">
        <v>49</v>
      </c>
      <c r="D15" s="6">
        <v>150</v>
      </c>
      <c r="E15" s="6">
        <v>15</v>
      </c>
      <c r="F15" s="6" t="s">
        <v>28</v>
      </c>
      <c r="G15" s="6" t="s">
        <v>48</v>
      </c>
      <c r="H15" s="5" t="b">
        <v>0</v>
      </c>
      <c r="I15" s="3" t="str">
        <f t="shared" si="0"/>
        <v>Electroni</v>
      </c>
      <c r="J15" s="3">
        <f t="shared" si="2"/>
        <v>150</v>
      </c>
      <c r="K15" s="3" t="str">
        <f t="shared" si="1"/>
        <v>Smartwatch</v>
      </c>
    </row>
    <row r="16" spans="1:11" x14ac:dyDescent="0.3">
      <c r="A16" s="3" t="s">
        <v>50</v>
      </c>
      <c r="B16" s="3" t="s">
        <v>26</v>
      </c>
      <c r="C16" s="3" t="s">
        <v>51</v>
      </c>
      <c r="D16" s="3">
        <v>250</v>
      </c>
      <c r="E16" s="3">
        <v>20</v>
      </c>
      <c r="F16" s="3" t="s">
        <v>28</v>
      </c>
      <c r="G16" s="3" t="s">
        <v>26</v>
      </c>
      <c r="H16" s="5" t="b">
        <v>0</v>
      </c>
      <c r="I16" s="3" t="str">
        <f t="shared" si="0"/>
        <v>Electroni</v>
      </c>
      <c r="J16" s="3">
        <f t="shared" si="2"/>
        <v>250</v>
      </c>
      <c r="K16" s="6" t="str">
        <f t="shared" si="1"/>
        <v>Headphones</v>
      </c>
    </row>
    <row r="17" spans="1:11" x14ac:dyDescent="0.3">
      <c r="A17" s="6" t="s">
        <v>52</v>
      </c>
      <c r="B17" s="6" t="s">
        <v>53</v>
      </c>
      <c r="C17" s="6" t="s">
        <v>54</v>
      </c>
      <c r="D17" s="6">
        <v>50</v>
      </c>
      <c r="E17" s="6">
        <v>35</v>
      </c>
      <c r="F17" s="6" t="s">
        <v>55</v>
      </c>
      <c r="G17" s="6" t="s">
        <v>53</v>
      </c>
      <c r="H17" s="4" t="b">
        <v>0</v>
      </c>
      <c r="I17" s="6" t="str">
        <f t="shared" si="0"/>
        <v>Accessories</v>
      </c>
      <c r="J17" s="6">
        <f t="shared" si="2"/>
        <v>50</v>
      </c>
      <c r="K17" s="3" t="str">
        <f t="shared" si="1"/>
        <v>Laptop Bag</v>
      </c>
    </row>
    <row r="18" spans="1:11" x14ac:dyDescent="0.3">
      <c r="A18" s="3" t="s">
        <v>56</v>
      </c>
      <c r="B18" s="3" t="s">
        <v>48</v>
      </c>
      <c r="C18" s="3" t="s">
        <v>57</v>
      </c>
      <c r="D18" s="3">
        <v>160</v>
      </c>
      <c r="E18" s="3">
        <v>15</v>
      </c>
      <c r="F18" s="3" t="s">
        <v>28</v>
      </c>
      <c r="G18" s="3" t="s">
        <v>48</v>
      </c>
      <c r="H18" s="5" t="b">
        <v>0</v>
      </c>
      <c r="I18" s="3" t="str">
        <f t="shared" si="0"/>
        <v>Electroni</v>
      </c>
      <c r="J18" s="3">
        <f t="shared" si="2"/>
        <v>160</v>
      </c>
      <c r="K18" s="6" t="str">
        <f t="shared" si="1"/>
        <v>Smartwatch</v>
      </c>
    </row>
    <row r="19" spans="1:11" x14ac:dyDescent="0.3">
      <c r="A19" s="6" t="s">
        <v>58</v>
      </c>
      <c r="B19" s="6" t="s">
        <v>8</v>
      </c>
      <c r="C19" s="6" t="s">
        <v>59</v>
      </c>
      <c r="D19" s="6">
        <v>980</v>
      </c>
      <c r="E19" s="6">
        <v>10</v>
      </c>
      <c r="F19" s="6" t="s">
        <v>10</v>
      </c>
      <c r="G19" s="6" t="s">
        <v>8</v>
      </c>
      <c r="H19" s="4" t="b">
        <v>0</v>
      </c>
      <c r="I19" s="6" t="str">
        <f t="shared" si="0"/>
        <v>Electronics</v>
      </c>
      <c r="J19" s="6">
        <f t="shared" si="2"/>
        <v>980</v>
      </c>
      <c r="K19" s="3" t="str">
        <f t="shared" si="1"/>
        <v>Laptop</v>
      </c>
    </row>
    <row r="20" spans="1:11" x14ac:dyDescent="0.3">
      <c r="A20" s="3" t="s">
        <v>60</v>
      </c>
      <c r="B20" s="3" t="s">
        <v>61</v>
      </c>
      <c r="C20" s="3" t="s">
        <v>62</v>
      </c>
      <c r="D20" s="3">
        <v>150</v>
      </c>
      <c r="E20" s="3">
        <v>15</v>
      </c>
      <c r="F20" s="3" t="s">
        <v>14</v>
      </c>
      <c r="G20" s="3" t="s">
        <v>61</v>
      </c>
      <c r="H20" s="5" t="b">
        <v>0</v>
      </c>
      <c r="I20" s="3" t="str">
        <f t="shared" si="0"/>
        <v>Fashion</v>
      </c>
      <c r="J20" s="3">
        <f t="shared" si="2"/>
        <v>150</v>
      </c>
      <c r="K20" s="6" t="str">
        <f t="shared" si="1"/>
        <v>Sunglasses</v>
      </c>
    </row>
    <row r="21" spans="1:11" x14ac:dyDescent="0.3">
      <c r="A21" s="6" t="s">
        <v>63</v>
      </c>
      <c r="B21" s="6" t="s">
        <v>64</v>
      </c>
      <c r="C21" s="6" t="s">
        <v>65</v>
      </c>
      <c r="D21" s="6"/>
      <c r="E21" s="6">
        <v>10</v>
      </c>
      <c r="F21" s="6" t="s">
        <v>41</v>
      </c>
      <c r="G21" s="6" t="s">
        <v>64</v>
      </c>
      <c r="H21" s="4" t="b">
        <v>1</v>
      </c>
      <c r="I21" s="6" t="str">
        <f t="shared" si="0"/>
        <v>Outdoor</v>
      </c>
      <c r="J21" s="8">
        <f>IF(ISBLANK(D21),AVERAGE($D$2:$D$35),D21)</f>
        <v>309.35483870967744</v>
      </c>
      <c r="K21" s="6" t="str">
        <f>TRIM(G21)</f>
        <v>Camping Tent</v>
      </c>
    </row>
    <row r="22" spans="1:11" x14ac:dyDescent="0.3">
      <c r="A22" s="3" t="s">
        <v>66</v>
      </c>
      <c r="B22" s="3" t="s">
        <v>67</v>
      </c>
      <c r="C22" s="3" t="s">
        <v>68</v>
      </c>
      <c r="D22" s="3">
        <v>700</v>
      </c>
      <c r="E22" s="3">
        <v>50</v>
      </c>
      <c r="F22" s="3" t="s">
        <v>10</v>
      </c>
      <c r="G22" s="3" t="s">
        <v>67</v>
      </c>
      <c r="H22" s="5" t="b">
        <v>0</v>
      </c>
      <c r="I22" s="3" t="str">
        <f t="shared" si="0"/>
        <v>Electronics</v>
      </c>
      <c r="J22" s="3">
        <f t="shared" si="2"/>
        <v>700</v>
      </c>
      <c r="K22" s="3" t="str">
        <f t="shared" si="1"/>
        <v>Camera</v>
      </c>
    </row>
    <row r="23" spans="1:11" x14ac:dyDescent="0.3">
      <c r="A23" s="6" t="s">
        <v>69</v>
      </c>
      <c r="B23" s="6" t="s">
        <v>70</v>
      </c>
      <c r="C23" s="6" t="s">
        <v>71</v>
      </c>
      <c r="D23" s="6">
        <v>80</v>
      </c>
      <c r="E23" s="6">
        <v>20</v>
      </c>
      <c r="F23" s="6" t="s">
        <v>18</v>
      </c>
      <c r="G23" s="6" t="s">
        <v>70</v>
      </c>
      <c r="H23" s="4" t="b">
        <v>0</v>
      </c>
      <c r="I23" s="6" t="str">
        <f t="shared" si="0"/>
        <v>Kitchen</v>
      </c>
      <c r="J23" s="6">
        <f t="shared" si="2"/>
        <v>80</v>
      </c>
      <c r="K23" s="6" t="str">
        <f t="shared" si="1"/>
        <v>Microwave</v>
      </c>
    </row>
    <row r="24" spans="1:11" x14ac:dyDescent="0.3">
      <c r="A24" s="3" t="s">
        <v>72</v>
      </c>
      <c r="B24" s="3" t="s">
        <v>73</v>
      </c>
      <c r="C24" s="3" t="s">
        <v>74</v>
      </c>
      <c r="D24" s="3">
        <v>150</v>
      </c>
      <c r="E24" s="3">
        <v>30</v>
      </c>
      <c r="F24" s="3"/>
      <c r="G24" s="3" t="s">
        <v>73</v>
      </c>
      <c r="H24" s="5" t="b">
        <v>0</v>
      </c>
      <c r="I24" s="3" t="str">
        <f t="shared" si="0"/>
        <v>UNKOWN</v>
      </c>
      <c r="J24" s="3">
        <f t="shared" si="2"/>
        <v>150</v>
      </c>
      <c r="K24" s="3" t="str">
        <f t="shared" si="1"/>
        <v>Fitness Tracker</v>
      </c>
    </row>
    <row r="25" spans="1:11" x14ac:dyDescent="0.3">
      <c r="A25" s="6" t="s">
        <v>52</v>
      </c>
      <c r="B25" s="6" t="s">
        <v>53</v>
      </c>
      <c r="C25" s="6" t="s">
        <v>54</v>
      </c>
      <c r="D25" s="6">
        <v>50</v>
      </c>
      <c r="E25" s="6">
        <v>35</v>
      </c>
      <c r="F25" s="6" t="s">
        <v>55</v>
      </c>
      <c r="G25" s="6" t="s">
        <v>53</v>
      </c>
      <c r="H25" s="4" t="b">
        <v>0</v>
      </c>
      <c r="I25" s="6" t="str">
        <f t="shared" si="0"/>
        <v>Accessories</v>
      </c>
      <c r="J25" s="6">
        <f t="shared" si="2"/>
        <v>50</v>
      </c>
      <c r="K25" s="6" t="str">
        <f t="shared" si="1"/>
        <v>Laptop Bag</v>
      </c>
    </row>
    <row r="26" spans="1:11" x14ac:dyDescent="0.3">
      <c r="A26" s="3" t="s">
        <v>75</v>
      </c>
      <c r="B26" s="3" t="s">
        <v>20</v>
      </c>
      <c r="C26" s="3" t="s">
        <v>76</v>
      </c>
      <c r="D26" s="3">
        <v>800</v>
      </c>
      <c r="E26" s="3">
        <v>45</v>
      </c>
      <c r="F26" s="3" t="s">
        <v>10</v>
      </c>
      <c r="G26" s="3" t="s">
        <v>20</v>
      </c>
      <c r="H26" s="5" t="b">
        <v>0</v>
      </c>
      <c r="I26" s="3" t="str">
        <f t="shared" si="0"/>
        <v>Electronics</v>
      </c>
      <c r="J26" s="3">
        <f t="shared" si="2"/>
        <v>800</v>
      </c>
      <c r="K26" s="3" t="str">
        <f t="shared" si="1"/>
        <v>Smartphone</v>
      </c>
    </row>
    <row r="27" spans="1:11" x14ac:dyDescent="0.3">
      <c r="A27" s="6" t="s">
        <v>77</v>
      </c>
      <c r="B27" s="6" t="s">
        <v>61</v>
      </c>
      <c r="C27" s="6" t="s">
        <v>78</v>
      </c>
      <c r="D27" s="6"/>
      <c r="E27" s="6">
        <v>25</v>
      </c>
      <c r="F27" s="6" t="s">
        <v>14</v>
      </c>
      <c r="G27" s="6" t="s">
        <v>61</v>
      </c>
      <c r="H27" s="4" t="b">
        <v>1</v>
      </c>
      <c r="I27" s="6" t="str">
        <f t="shared" si="0"/>
        <v>Fashion</v>
      </c>
      <c r="J27" s="8">
        <f t="shared" si="2"/>
        <v>309.35483870967744</v>
      </c>
      <c r="K27" s="6" t="str">
        <f t="shared" si="1"/>
        <v>Sunglasses</v>
      </c>
    </row>
    <row r="28" spans="1:11" x14ac:dyDescent="0.3">
      <c r="A28" s="3" t="s">
        <v>79</v>
      </c>
      <c r="B28" s="3" t="s">
        <v>33</v>
      </c>
      <c r="C28" s="3" t="s">
        <v>80</v>
      </c>
      <c r="D28" s="3">
        <v>400</v>
      </c>
      <c r="E28" s="3">
        <v>40</v>
      </c>
      <c r="F28" s="3" t="s">
        <v>18</v>
      </c>
      <c r="G28" s="3" t="s">
        <v>33</v>
      </c>
      <c r="H28" s="5" t="b">
        <v>0</v>
      </c>
      <c r="I28" s="3" t="str">
        <f t="shared" si="0"/>
        <v>Kitchen</v>
      </c>
      <c r="J28" s="3">
        <f t="shared" si="2"/>
        <v>400</v>
      </c>
      <c r="K28" s="3" t="str">
        <f t="shared" si="1"/>
        <v>Blender</v>
      </c>
    </row>
    <row r="29" spans="1:11" x14ac:dyDescent="0.3">
      <c r="A29" s="6" t="s">
        <v>50</v>
      </c>
      <c r="B29" s="6" t="s">
        <v>26</v>
      </c>
      <c r="C29" s="6" t="s">
        <v>51</v>
      </c>
      <c r="D29" s="6">
        <v>250</v>
      </c>
      <c r="E29" s="6">
        <v>20</v>
      </c>
      <c r="F29" s="6" t="s">
        <v>28</v>
      </c>
      <c r="G29" s="6" t="s">
        <v>26</v>
      </c>
      <c r="H29" s="4" t="b">
        <v>0</v>
      </c>
      <c r="I29" s="6" t="str">
        <f t="shared" si="0"/>
        <v>Electroni</v>
      </c>
      <c r="J29" s="6">
        <f t="shared" si="2"/>
        <v>250</v>
      </c>
      <c r="K29" s="6" t="str">
        <f t="shared" si="1"/>
        <v>Headphones</v>
      </c>
    </row>
    <row r="30" spans="1:11" x14ac:dyDescent="0.3">
      <c r="A30" s="3" t="s">
        <v>81</v>
      </c>
      <c r="B30" s="3" t="s">
        <v>82</v>
      </c>
      <c r="C30" s="3" t="s">
        <v>83</v>
      </c>
      <c r="D30" s="3">
        <v>60</v>
      </c>
      <c r="E30" s="3">
        <v>30</v>
      </c>
      <c r="F30" s="3" t="s">
        <v>14</v>
      </c>
      <c r="G30" s="3" t="s">
        <v>82</v>
      </c>
      <c r="H30" s="5" t="b">
        <v>0</v>
      </c>
      <c r="I30" s="3" t="str">
        <f t="shared" si="0"/>
        <v>Fashion</v>
      </c>
      <c r="J30" s="3">
        <f t="shared" si="2"/>
        <v>60</v>
      </c>
      <c r="K30" s="3" t="str">
        <f t="shared" si="1"/>
        <v>Dress</v>
      </c>
    </row>
    <row r="31" spans="1:11" x14ac:dyDescent="0.3">
      <c r="A31" s="6" t="s">
        <v>84</v>
      </c>
      <c r="B31" s="6" t="s">
        <v>85</v>
      </c>
      <c r="C31" s="6" t="s">
        <v>86</v>
      </c>
      <c r="D31" s="6">
        <v>40</v>
      </c>
      <c r="E31" s="6">
        <v>10</v>
      </c>
      <c r="F31" s="6" t="s">
        <v>18</v>
      </c>
      <c r="G31" s="6" t="s">
        <v>85</v>
      </c>
      <c r="H31" s="5" t="b">
        <v>0</v>
      </c>
      <c r="I31" s="3" t="str">
        <f>IF(ISBLANK(F31),"UNKOWN",F31)</f>
        <v>Kitchen</v>
      </c>
      <c r="J31" s="3">
        <f t="shared" si="2"/>
        <v>40</v>
      </c>
      <c r="K31" s="6" t="str">
        <f t="shared" si="1"/>
        <v>Toaster</v>
      </c>
    </row>
    <row r="32" spans="1:11" x14ac:dyDescent="0.3">
      <c r="A32" s="3" t="s">
        <v>87</v>
      </c>
      <c r="B32" s="3" t="s">
        <v>73</v>
      </c>
      <c r="C32" s="3" t="s">
        <v>88</v>
      </c>
      <c r="D32" s="3">
        <v>130</v>
      </c>
      <c r="E32" s="3">
        <v>5</v>
      </c>
      <c r="F32" s="3" t="s">
        <v>10</v>
      </c>
      <c r="G32" s="3" t="s">
        <v>73</v>
      </c>
      <c r="H32" s="4" t="b">
        <v>0</v>
      </c>
      <c r="I32" s="6" t="str">
        <f>IF(ISBLANK(F32),"UNKOWN",F32)</f>
        <v>Electronics</v>
      </c>
      <c r="J32" s="6">
        <f t="shared" si="2"/>
        <v>130</v>
      </c>
      <c r="K32" s="3" t="str">
        <f t="shared" si="1"/>
        <v>Fitness Tracker</v>
      </c>
    </row>
    <row r="33" spans="1:11" x14ac:dyDescent="0.3">
      <c r="A33" s="6" t="s">
        <v>89</v>
      </c>
      <c r="B33" s="6" t="s">
        <v>90</v>
      </c>
      <c r="C33" s="6" t="s">
        <v>91</v>
      </c>
      <c r="D33" s="6">
        <v>50</v>
      </c>
      <c r="E33" s="6">
        <v>50</v>
      </c>
      <c r="F33" s="6" t="s">
        <v>14</v>
      </c>
      <c r="G33" s="6" t="s">
        <v>90</v>
      </c>
      <c r="H33" s="5" t="b">
        <v>0</v>
      </c>
      <c r="I33" s="3" t="str">
        <f>IF(ISBLANK(F33),"UNKOWN",F33)</f>
        <v>Fashion</v>
      </c>
      <c r="J33" s="3">
        <f t="shared" si="2"/>
        <v>50</v>
      </c>
      <c r="K33" s="6" t="str">
        <f t="shared" si="1"/>
        <v>Jeans</v>
      </c>
    </row>
    <row r="34" spans="1:11" x14ac:dyDescent="0.3">
      <c r="A34" s="3" t="s">
        <v>42</v>
      </c>
      <c r="B34" s="3" t="s">
        <v>8</v>
      </c>
      <c r="C34" s="3" t="s">
        <v>43</v>
      </c>
      <c r="D34" s="3">
        <v>950</v>
      </c>
      <c r="E34" s="3">
        <v>25</v>
      </c>
      <c r="F34" s="3" t="s">
        <v>10</v>
      </c>
      <c r="G34" s="3" t="s">
        <v>8</v>
      </c>
      <c r="H34" s="4" t="b">
        <v>0</v>
      </c>
      <c r="I34" s="6" t="str">
        <f t="shared" ref="I34" si="3">IF(ISBLANK(F34),"UNKOWN",F34)</f>
        <v>Electronics</v>
      </c>
      <c r="J34" s="6">
        <f t="shared" si="2"/>
        <v>950</v>
      </c>
      <c r="K34" s="3" t="str">
        <f t="shared" si="1"/>
        <v>Laptop</v>
      </c>
    </row>
    <row r="35" spans="1:11" x14ac:dyDescent="0.3">
      <c r="A35" s="6" t="s">
        <v>92</v>
      </c>
      <c r="B35" s="6" t="s">
        <v>93</v>
      </c>
      <c r="C35" s="6" t="s">
        <v>94</v>
      </c>
      <c r="D35" s="6">
        <v>100</v>
      </c>
      <c r="E35" s="6">
        <v>20</v>
      </c>
      <c r="F35" s="6" t="s">
        <v>55</v>
      </c>
      <c r="G35" s="6" t="s">
        <v>93</v>
      </c>
      <c r="H35" s="5" t="b">
        <v>0</v>
      </c>
      <c r="I35" s="3" t="str">
        <f>IF(ISBLANK(F35),"UNKOWN",F35)</f>
        <v>Accessories</v>
      </c>
      <c r="J35" s="3">
        <f t="shared" si="2"/>
        <v>100</v>
      </c>
      <c r="K35" s="6" t="str">
        <f t="shared" si="1"/>
        <v>Watch</v>
      </c>
    </row>
    <row r="36" spans="1:11" x14ac:dyDescent="0.3">
      <c r="A36" s="9"/>
      <c r="B36" s="9"/>
      <c r="C36" s="9"/>
      <c r="D36" s="10">
        <f>COUNTBLANK(D2:D35)</f>
        <v>3</v>
      </c>
      <c r="E36" s="9"/>
      <c r="F36" s="9"/>
      <c r="G36" s="9"/>
      <c r="H36" s="9"/>
      <c r="I36" s="9"/>
      <c r="J36" s="9"/>
    </row>
  </sheetData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cp:lastPrinted>2026-05-06T11:52:16Z</cp:lastPrinted>
  <dcterms:created xsi:type="dcterms:W3CDTF">2025-11-23T15:57:59Z</dcterms:created>
  <dcterms:modified xsi:type="dcterms:W3CDTF">2026-05-06T11:52:27Z</dcterms:modified>
</cp:coreProperties>
</file>