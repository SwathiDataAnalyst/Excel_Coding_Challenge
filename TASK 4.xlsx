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"/>
    </mc:Choice>
  </mc:AlternateContent>
  <xr:revisionPtr revIDLastSave="10" documentId="8_{96FAEA9C-30EC-40EC-83C8-C39BE8964D7A}" xr6:coauthVersionLast="47" xr6:coauthVersionMax="47" xr10:uidLastSave="{45B3A247-176C-4F97-AE61-A12586EC1A22}"/>
  <bookViews>
    <workbookView xWindow="-108" yWindow="-108" windowWidth="23256" windowHeight="12456" xr2:uid="{254F545C-7781-4429-B11B-8CDCA79104CB}"/>
  </bookViews>
  <sheets>
    <sheet name="Sheet1" sheetId="1" r:id="rId1"/>
  </sheets>
  <definedNames>
    <definedName name="_xlnm._FilterDatabase" localSheetId="0" hidden="1">Sheet1!$E$1:$E$36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F2" i="1"/>
  <c r="F5" i="1"/>
  <c r="F7" i="1"/>
  <c r="F10" i="1"/>
  <c r="F3" i="1"/>
  <c r="F4" i="1"/>
  <c r="F6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D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" i="1"/>
  <c r="H2" i="1"/>
  <c r="G2" i="1"/>
</calcChain>
</file>

<file path=xl/sharedStrings.xml><?xml version="1.0" encoding="utf-8"?>
<sst xmlns="http://schemas.openxmlformats.org/spreadsheetml/2006/main" count="114" uniqueCount="68">
  <si>
    <t>Product Name</t>
  </si>
  <si>
    <t>Brand Name</t>
  </si>
  <si>
    <t>Price ($)</t>
  </si>
  <si>
    <t>Quantity</t>
  </si>
  <si>
    <t>Category</t>
  </si>
  <si>
    <t>Sum</t>
  </si>
  <si>
    <t>Average</t>
  </si>
  <si>
    <t>Min</t>
  </si>
  <si>
    <t>Max</t>
  </si>
  <si>
    <t>Price Range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</si>
  <si>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</si>
  <si>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</si>
  <si>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</si>
  <si>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</si>
  <si>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</si>
  <si>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</si>
  <si>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</si>
  <si>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</si>
  <si>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</si>
  <si>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</si>
  <si>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</si>
  <si>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</si>
  <si>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</si>
  <si>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Outdoor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</si>
  <si>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</si>
  <si>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</si>
  <si>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</si>
  <si>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</si>
  <si>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</si>
  <si>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</si>
  <si>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</si>
  <si>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</si>
  <si>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</si>
  <si>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</si>
  <si>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</si>
  <si>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</si>
  <si>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</si>
  <si>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</si>
  <si>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</si>
  <si>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</si>
  <si>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</si>
  <si>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</si>
  <si>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</si>
  <si>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</si>
  <si>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</si>
  <si>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</si>
  <si>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</si>
  <si>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</si>
  <si>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</si>
  <si>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</si>
  <si>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</si>
  <si>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</si>
  <si>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</si>
  <si>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</si>
  <si>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</si>
  <si>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</si>
  <si>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</si>
  <si>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</si>
  <si>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</si>
  <si>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</si>
  <si>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</si>
  <si>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</si>
  <si>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</si>
  <si>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</si>
  <si>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</si>
  <si>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</si>
  <si>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SUMIF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</si>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</sst>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7149-6008-4623-A5B9-488136D1DC02}">
  <dimension ref="A1:L36"/>
  <sheetViews>
    <sheetView tabSelected="1" workbookViewId="0">
      <selection activeCell="K6" sqref="K6"/>
    </sheetView>
  </sheetViews>
  <sheetFormatPr defaultRowHeight="14.4" x14ac:dyDescent="0.3"/>
  <cols>
    <col min="1" max="1" width="14.109375" customWidth="1"/>
    <col min="2" max="5" width="12.6640625" customWidth="1"/>
    <col min="6" max="9" width="12.6640625"/>
    <col min="10" max="10" width="13.33203125" bestFit="1" customWidth="1"/>
    <col min="11" max="11" width="12.6640625"/>
    <col min="12" max="12" width="14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66</v>
      </c>
      <c r="L1" s="2" t="s">
        <v>67</v>
      </c>
    </row>
    <row r="2" spans="1:12" x14ac:dyDescent="0.3">
      <c r="A2" s="3" t="s">
        <v>10</v>
      </c>
      <c r="B2" s="3" t="s">
        <v>11</v>
      </c>
      <c r="C2" s="3">
        <v>1000</v>
      </c>
      <c r="D2" s="3">
        <v>30</v>
      </c>
      <c r="E2" s="4" t="s">
        <v>12</v>
      </c>
      <c r="F2" s="3">
        <f>SUM(D2*C2)</f>
        <v>30000</v>
      </c>
      <c r="G2" s="5">
        <f>AVERAGE(C2:C35)</f>
        <v>297.05882352941177</v>
      </c>
      <c r="H2" s="6">
        <f>MIN(F2:F35)</f>
        <v>150</v>
      </c>
      <c r="I2" s="7">
        <f>MAX(F2:F35)</f>
        <v>36000</v>
      </c>
      <c r="J2" s="6" t="str">
        <f>IF(C2&gt;=500,"Higher","Standard Price")</f>
        <v>Higher</v>
      </c>
      <c r="K2" s="6">
        <f>SUMIF(E2:E35,"ELECTRONICS",(C2:C35))</f>
        <v>8050</v>
      </c>
      <c r="L2" s="6">
        <f>COUNTIF(C2:C35,"&lt;100")</f>
        <v>11</v>
      </c>
    </row>
    <row r="3" spans="1:12" x14ac:dyDescent="0.3">
      <c r="A3" s="4" t="s">
        <v>13</v>
      </c>
      <c r="B3" s="4" t="s">
        <v>14</v>
      </c>
      <c r="C3" s="4">
        <v>80</v>
      </c>
      <c r="D3" s="4">
        <v>15</v>
      </c>
      <c r="E3" s="4" t="s">
        <v>15</v>
      </c>
      <c r="F3" s="3">
        <f t="shared" ref="F3:F35" si="0">SUM(D3*C3)</f>
        <v>1200</v>
      </c>
      <c r="J3" s="6" t="str">
        <f t="shared" ref="J3:J35" si="1">IF(C3&gt;=500,"Higher","Standard Price")</f>
        <v>Standard Price</v>
      </c>
    </row>
    <row r="4" spans="1:12" x14ac:dyDescent="0.3">
      <c r="A4" s="3" t="s">
        <v>16</v>
      </c>
      <c r="B4" s="3" t="s">
        <v>17</v>
      </c>
      <c r="C4" s="3">
        <v>130</v>
      </c>
      <c r="D4" s="3">
        <v>40</v>
      </c>
      <c r="E4" s="3" t="s">
        <v>18</v>
      </c>
      <c r="F4" s="3">
        <f t="shared" si="0"/>
        <v>5200</v>
      </c>
      <c r="J4" s="6" t="str">
        <f t="shared" si="1"/>
        <v>Standard Price</v>
      </c>
    </row>
    <row r="5" spans="1:12" x14ac:dyDescent="0.3">
      <c r="A5" s="4" t="s">
        <v>19</v>
      </c>
      <c r="B5" s="4" t="s">
        <v>20</v>
      </c>
      <c r="C5" s="4">
        <v>900</v>
      </c>
      <c r="D5" s="4">
        <v>25</v>
      </c>
      <c r="E5" s="4" t="s">
        <v>12</v>
      </c>
      <c r="F5" s="3">
        <f t="shared" si="0"/>
        <v>22500</v>
      </c>
      <c r="J5" s="6" t="str">
        <f t="shared" si="1"/>
        <v>Higher</v>
      </c>
    </row>
    <row r="6" spans="1:12" x14ac:dyDescent="0.3">
      <c r="A6" s="3" t="s">
        <v>21</v>
      </c>
      <c r="B6" s="3" t="s">
        <v>22</v>
      </c>
      <c r="C6" s="3">
        <v>70</v>
      </c>
      <c r="D6" s="3">
        <v>20</v>
      </c>
      <c r="E6" s="3" t="s">
        <v>23</v>
      </c>
      <c r="F6" s="3">
        <f t="shared" si="0"/>
        <v>1400</v>
      </c>
      <c r="J6" s="6" t="str">
        <f t="shared" si="1"/>
        <v>Standard Price</v>
      </c>
    </row>
    <row r="7" spans="1:12" x14ac:dyDescent="0.3">
      <c r="A7" s="4" t="s">
        <v>24</v>
      </c>
      <c r="B7" s="4" t="s">
        <v>25</v>
      </c>
      <c r="C7" s="4">
        <v>200</v>
      </c>
      <c r="D7" s="4">
        <v>45</v>
      </c>
      <c r="E7" s="4" t="s">
        <v>12</v>
      </c>
      <c r="F7" s="3">
        <f t="shared" si="0"/>
        <v>9000</v>
      </c>
      <c r="J7" s="6" t="str">
        <f t="shared" si="1"/>
        <v>Standard Price</v>
      </c>
    </row>
    <row r="8" spans="1:12" x14ac:dyDescent="0.3">
      <c r="A8" s="3" t="s">
        <v>26</v>
      </c>
      <c r="B8" s="3" t="s">
        <v>27</v>
      </c>
      <c r="C8" s="3">
        <v>30</v>
      </c>
      <c r="D8" s="3">
        <v>5</v>
      </c>
      <c r="E8" s="3" t="s">
        <v>15</v>
      </c>
      <c r="F8" s="3">
        <f t="shared" si="0"/>
        <v>150</v>
      </c>
      <c r="J8" s="6" t="str">
        <f t="shared" si="1"/>
        <v>Standard Price</v>
      </c>
    </row>
    <row r="9" spans="1:12" x14ac:dyDescent="0.3">
      <c r="A9" s="4" t="s">
        <v>28</v>
      </c>
      <c r="B9" s="4" t="s">
        <v>29</v>
      </c>
      <c r="C9" s="4">
        <v>90</v>
      </c>
      <c r="D9" s="4">
        <v>35</v>
      </c>
      <c r="E9" s="4" t="s">
        <v>18</v>
      </c>
      <c r="F9" s="3">
        <f t="shared" si="0"/>
        <v>3150</v>
      </c>
      <c r="J9" s="6" t="str">
        <f t="shared" si="1"/>
        <v>Standard Price</v>
      </c>
    </row>
    <row r="10" spans="1:12" x14ac:dyDescent="0.3">
      <c r="A10" s="3" t="s">
        <v>30</v>
      </c>
      <c r="B10" s="3" t="s">
        <v>31</v>
      </c>
      <c r="C10" s="3">
        <v>500</v>
      </c>
      <c r="D10" s="3">
        <v>50</v>
      </c>
      <c r="E10" s="3" t="s">
        <v>12</v>
      </c>
      <c r="F10" s="3">
        <f t="shared" si="0"/>
        <v>25000</v>
      </c>
      <c r="J10" s="6" t="str">
        <f t="shared" si="1"/>
        <v>Higher</v>
      </c>
    </row>
    <row r="11" spans="1:12" x14ac:dyDescent="0.3">
      <c r="A11" s="4" t="s">
        <v>32</v>
      </c>
      <c r="B11" s="4" t="s">
        <v>33</v>
      </c>
      <c r="C11" s="4">
        <v>130</v>
      </c>
      <c r="D11" s="4">
        <v>10</v>
      </c>
      <c r="E11" s="4" t="s">
        <v>23</v>
      </c>
      <c r="F11" s="3">
        <f t="shared" si="0"/>
        <v>1300</v>
      </c>
      <c r="J11" s="6" t="str">
        <f t="shared" si="1"/>
        <v>Standard Price</v>
      </c>
    </row>
    <row r="12" spans="1:12" x14ac:dyDescent="0.3">
      <c r="A12" s="3" t="s">
        <v>10</v>
      </c>
      <c r="B12" s="3" t="s">
        <v>34</v>
      </c>
      <c r="C12" s="3">
        <v>950</v>
      </c>
      <c r="D12" s="3">
        <v>25</v>
      </c>
      <c r="E12" s="3" t="s">
        <v>12</v>
      </c>
      <c r="F12" s="3">
        <f t="shared" si="0"/>
        <v>23750</v>
      </c>
      <c r="J12" s="6" t="str">
        <f t="shared" si="1"/>
        <v>Higher</v>
      </c>
    </row>
    <row r="13" spans="1:12" x14ac:dyDescent="0.3">
      <c r="A13" s="4" t="s">
        <v>13</v>
      </c>
      <c r="B13" s="4" t="s">
        <v>27</v>
      </c>
      <c r="C13" s="4">
        <v>90</v>
      </c>
      <c r="D13" s="4">
        <v>40</v>
      </c>
      <c r="E13" s="4" t="s">
        <v>15</v>
      </c>
      <c r="F13" s="3">
        <f t="shared" si="0"/>
        <v>3600</v>
      </c>
      <c r="J13" s="6" t="str">
        <f t="shared" si="1"/>
        <v>Standard Price</v>
      </c>
    </row>
    <row r="14" spans="1:12" x14ac:dyDescent="0.3">
      <c r="A14" s="3" t="s">
        <v>16</v>
      </c>
      <c r="B14" s="3" t="s">
        <v>35</v>
      </c>
      <c r="C14" s="3">
        <v>120</v>
      </c>
      <c r="D14" s="3">
        <v>35</v>
      </c>
      <c r="E14" s="3" t="s">
        <v>18</v>
      </c>
      <c r="F14" s="3">
        <f t="shared" si="0"/>
        <v>4200</v>
      </c>
      <c r="J14" s="6" t="str">
        <f t="shared" si="1"/>
        <v>Standard Price</v>
      </c>
    </row>
    <row r="15" spans="1:12" x14ac:dyDescent="0.3">
      <c r="A15" s="4" t="s">
        <v>36</v>
      </c>
      <c r="B15" s="4" t="s">
        <v>37</v>
      </c>
      <c r="C15" s="4">
        <v>150</v>
      </c>
      <c r="D15" s="4">
        <v>15</v>
      </c>
      <c r="E15" s="4" t="s">
        <v>12</v>
      </c>
      <c r="F15" s="3">
        <f t="shared" si="0"/>
        <v>2250</v>
      </c>
      <c r="J15" s="6" t="str">
        <f t="shared" si="1"/>
        <v>Standard Price</v>
      </c>
    </row>
    <row r="16" spans="1:12" x14ac:dyDescent="0.3">
      <c r="A16" s="3" t="s">
        <v>24</v>
      </c>
      <c r="B16" s="3" t="s">
        <v>38</v>
      </c>
      <c r="C16" s="3">
        <v>250</v>
      </c>
      <c r="D16" s="3">
        <v>20</v>
      </c>
      <c r="E16" s="3" t="s">
        <v>12</v>
      </c>
      <c r="F16" s="3">
        <f t="shared" si="0"/>
        <v>5000</v>
      </c>
      <c r="J16" s="6" t="str">
        <f t="shared" si="1"/>
        <v>Standard Price</v>
      </c>
    </row>
    <row r="17" spans="1:10" x14ac:dyDescent="0.3">
      <c r="A17" s="4" t="s">
        <v>39</v>
      </c>
      <c r="B17" s="4" t="s">
        <v>40</v>
      </c>
      <c r="C17" s="4">
        <v>50</v>
      </c>
      <c r="D17" s="4">
        <v>35</v>
      </c>
      <c r="E17" s="4" t="s">
        <v>41</v>
      </c>
      <c r="F17" s="3">
        <f t="shared" si="0"/>
        <v>1750</v>
      </c>
      <c r="J17" s="6" t="str">
        <f t="shared" si="1"/>
        <v>Standard Price</v>
      </c>
    </row>
    <row r="18" spans="1:10" x14ac:dyDescent="0.3">
      <c r="A18" s="3" t="s">
        <v>36</v>
      </c>
      <c r="B18" s="3" t="s">
        <v>42</v>
      </c>
      <c r="C18" s="3">
        <v>160</v>
      </c>
      <c r="D18" s="3">
        <v>15</v>
      </c>
      <c r="E18" s="3" t="s">
        <v>12</v>
      </c>
      <c r="F18" s="3">
        <f t="shared" si="0"/>
        <v>2400</v>
      </c>
      <c r="J18" s="6" t="str">
        <f t="shared" si="1"/>
        <v>Standard Price</v>
      </c>
    </row>
    <row r="19" spans="1:10" x14ac:dyDescent="0.3">
      <c r="A19" s="4" t="s">
        <v>10</v>
      </c>
      <c r="B19" s="4" t="s">
        <v>43</v>
      </c>
      <c r="C19" s="4">
        <v>980</v>
      </c>
      <c r="D19" s="4">
        <v>10</v>
      </c>
      <c r="E19" s="4" t="s">
        <v>12</v>
      </c>
      <c r="F19" s="3">
        <f t="shared" si="0"/>
        <v>9800</v>
      </c>
      <c r="J19" s="6" t="str">
        <f t="shared" si="1"/>
        <v>Higher</v>
      </c>
    </row>
    <row r="20" spans="1:10" x14ac:dyDescent="0.3">
      <c r="A20" s="3" t="s">
        <v>44</v>
      </c>
      <c r="B20" s="3" t="s">
        <v>45</v>
      </c>
      <c r="C20" s="3">
        <v>150</v>
      </c>
      <c r="D20" s="3">
        <v>15</v>
      </c>
      <c r="E20" s="3" t="s">
        <v>15</v>
      </c>
      <c r="F20" s="3">
        <f t="shared" si="0"/>
        <v>2250</v>
      </c>
      <c r="J20" s="6" t="str">
        <f t="shared" si="1"/>
        <v>Standard Price</v>
      </c>
    </row>
    <row r="21" spans="1:10" x14ac:dyDescent="0.3">
      <c r="A21" s="4" t="s">
        <v>46</v>
      </c>
      <c r="B21" s="4" t="s">
        <v>47</v>
      </c>
      <c r="C21" s="4">
        <v>200</v>
      </c>
      <c r="D21" s="4">
        <v>10</v>
      </c>
      <c r="E21" s="4" t="s">
        <v>23</v>
      </c>
      <c r="F21" s="3">
        <f t="shared" si="0"/>
        <v>2000</v>
      </c>
      <c r="J21" s="6" t="str">
        <f t="shared" si="1"/>
        <v>Standard Price</v>
      </c>
    </row>
    <row r="22" spans="1:10" x14ac:dyDescent="0.3">
      <c r="A22" s="3" t="s">
        <v>48</v>
      </c>
      <c r="B22" s="3" t="s">
        <v>49</v>
      </c>
      <c r="C22" s="3">
        <v>700</v>
      </c>
      <c r="D22" s="3">
        <v>50</v>
      </c>
      <c r="E22" s="3" t="s">
        <v>12</v>
      </c>
      <c r="F22" s="3">
        <f t="shared" si="0"/>
        <v>35000</v>
      </c>
      <c r="J22" s="6" t="str">
        <f t="shared" si="1"/>
        <v>Higher</v>
      </c>
    </row>
    <row r="23" spans="1:10" x14ac:dyDescent="0.3">
      <c r="A23" s="4" t="s">
        <v>50</v>
      </c>
      <c r="B23" s="4" t="s">
        <v>51</v>
      </c>
      <c r="C23" s="4">
        <v>80</v>
      </c>
      <c r="D23" s="4">
        <v>20</v>
      </c>
      <c r="E23" s="4" t="s">
        <v>18</v>
      </c>
      <c r="F23" s="3">
        <f t="shared" si="0"/>
        <v>1600</v>
      </c>
      <c r="J23" s="6" t="str">
        <f t="shared" si="1"/>
        <v>Standard Price</v>
      </c>
    </row>
    <row r="24" spans="1:10" x14ac:dyDescent="0.3">
      <c r="A24" s="3" t="s">
        <v>52</v>
      </c>
      <c r="B24" s="3" t="s">
        <v>53</v>
      </c>
      <c r="C24" s="3">
        <v>150</v>
      </c>
      <c r="D24" s="3">
        <v>30</v>
      </c>
      <c r="E24" s="3" t="s">
        <v>12</v>
      </c>
      <c r="F24" s="3">
        <f t="shared" si="0"/>
        <v>4500</v>
      </c>
      <c r="J24" s="6" t="str">
        <f t="shared" si="1"/>
        <v>Standard Price</v>
      </c>
    </row>
    <row r="25" spans="1:10" x14ac:dyDescent="0.3">
      <c r="A25" s="4" t="s">
        <v>39</v>
      </c>
      <c r="B25" s="4" t="s">
        <v>40</v>
      </c>
      <c r="C25" s="4">
        <v>50</v>
      </c>
      <c r="D25" s="4">
        <v>35</v>
      </c>
      <c r="E25" s="4" t="s">
        <v>41</v>
      </c>
      <c r="F25" s="3">
        <f t="shared" si="0"/>
        <v>1750</v>
      </c>
      <c r="J25" s="6" t="str">
        <f t="shared" si="1"/>
        <v>Standard Price</v>
      </c>
    </row>
    <row r="26" spans="1:10" x14ac:dyDescent="0.3">
      <c r="A26" s="3" t="s">
        <v>19</v>
      </c>
      <c r="B26" s="3" t="s">
        <v>54</v>
      </c>
      <c r="C26" s="3">
        <v>800</v>
      </c>
      <c r="D26" s="3">
        <v>45</v>
      </c>
      <c r="E26" s="3" t="s">
        <v>12</v>
      </c>
      <c r="F26" s="3">
        <f t="shared" si="0"/>
        <v>36000</v>
      </c>
      <c r="J26" s="6" t="str">
        <f t="shared" si="1"/>
        <v>Higher</v>
      </c>
    </row>
    <row r="27" spans="1:10" x14ac:dyDescent="0.3">
      <c r="A27" s="4" t="s">
        <v>44</v>
      </c>
      <c r="B27" s="4" t="s">
        <v>55</v>
      </c>
      <c r="C27" s="4">
        <v>130</v>
      </c>
      <c r="D27" s="4">
        <v>25</v>
      </c>
      <c r="E27" s="4" t="s">
        <v>15</v>
      </c>
      <c r="F27" s="3">
        <f t="shared" si="0"/>
        <v>3250</v>
      </c>
      <c r="J27" s="6" t="str">
        <f t="shared" si="1"/>
        <v>Standard Price</v>
      </c>
    </row>
    <row r="28" spans="1:10" x14ac:dyDescent="0.3">
      <c r="A28" s="3" t="s">
        <v>28</v>
      </c>
      <c r="B28" s="3" t="s">
        <v>56</v>
      </c>
      <c r="C28" s="3">
        <v>400</v>
      </c>
      <c r="D28" s="3">
        <v>40</v>
      </c>
      <c r="E28" s="3" t="s">
        <v>18</v>
      </c>
      <c r="F28" s="3">
        <f t="shared" si="0"/>
        <v>16000</v>
      </c>
      <c r="J28" s="6" t="str">
        <f t="shared" si="1"/>
        <v>Standard Price</v>
      </c>
    </row>
    <row r="29" spans="1:10" x14ac:dyDescent="0.3">
      <c r="A29" s="4" t="s">
        <v>24</v>
      </c>
      <c r="B29" s="4" t="s">
        <v>38</v>
      </c>
      <c r="C29" s="4">
        <v>230</v>
      </c>
      <c r="D29" s="4">
        <v>20</v>
      </c>
      <c r="E29" s="4" t="s">
        <v>12</v>
      </c>
      <c r="F29" s="3">
        <f t="shared" si="0"/>
        <v>4600</v>
      </c>
      <c r="J29" s="6" t="str">
        <f t="shared" si="1"/>
        <v>Standard Price</v>
      </c>
    </row>
    <row r="30" spans="1:10" x14ac:dyDescent="0.3">
      <c r="A30" s="3" t="s">
        <v>57</v>
      </c>
      <c r="B30" s="3" t="s">
        <v>58</v>
      </c>
      <c r="C30" s="3">
        <v>60</v>
      </c>
      <c r="D30" s="3">
        <v>30</v>
      </c>
      <c r="E30" s="3" t="s">
        <v>15</v>
      </c>
      <c r="F30" s="3">
        <f t="shared" si="0"/>
        <v>1800</v>
      </c>
      <c r="J30" s="6" t="str">
        <f t="shared" si="1"/>
        <v>Standard Price</v>
      </c>
    </row>
    <row r="31" spans="1:10" x14ac:dyDescent="0.3">
      <c r="A31" s="4" t="s">
        <v>59</v>
      </c>
      <c r="B31" s="4" t="s">
        <v>60</v>
      </c>
      <c r="C31" s="4">
        <v>40</v>
      </c>
      <c r="D31" s="4">
        <v>10</v>
      </c>
      <c r="E31" s="4" t="s">
        <v>18</v>
      </c>
      <c r="F31" s="3">
        <f t="shared" si="0"/>
        <v>400</v>
      </c>
      <c r="J31" s="6" t="str">
        <f t="shared" si="1"/>
        <v>Standard Price</v>
      </c>
    </row>
    <row r="32" spans="1:10" x14ac:dyDescent="0.3">
      <c r="A32" s="3" t="s">
        <v>52</v>
      </c>
      <c r="B32" s="3" t="s">
        <v>61</v>
      </c>
      <c r="C32" s="3">
        <v>130</v>
      </c>
      <c r="D32" s="3">
        <v>5</v>
      </c>
      <c r="E32" s="3" t="s">
        <v>12</v>
      </c>
      <c r="F32" s="3">
        <f t="shared" si="0"/>
        <v>650</v>
      </c>
      <c r="J32" s="6" t="str">
        <f t="shared" si="1"/>
        <v>Standard Price</v>
      </c>
    </row>
    <row r="33" spans="1:10" x14ac:dyDescent="0.3">
      <c r="A33" s="4" t="s">
        <v>62</v>
      </c>
      <c r="B33" s="4" t="s">
        <v>63</v>
      </c>
      <c r="C33" s="4">
        <v>50</v>
      </c>
      <c r="D33" s="4">
        <v>50</v>
      </c>
      <c r="E33" s="4" t="s">
        <v>15</v>
      </c>
      <c r="F33" s="3">
        <f t="shared" si="0"/>
        <v>2500</v>
      </c>
      <c r="J33" s="6" t="str">
        <f t="shared" si="1"/>
        <v>Standard Price</v>
      </c>
    </row>
    <row r="34" spans="1:10" x14ac:dyDescent="0.3">
      <c r="A34" s="3" t="s">
        <v>10</v>
      </c>
      <c r="B34" s="3" t="s">
        <v>34</v>
      </c>
      <c r="C34" s="3">
        <v>950</v>
      </c>
      <c r="D34" s="3">
        <v>25</v>
      </c>
      <c r="E34" s="3" t="s">
        <v>12</v>
      </c>
      <c r="F34" s="3">
        <f t="shared" si="0"/>
        <v>23750</v>
      </c>
      <c r="J34" s="6" t="str">
        <f t="shared" si="1"/>
        <v>Higher</v>
      </c>
    </row>
    <row r="35" spans="1:10" x14ac:dyDescent="0.3">
      <c r="A35" s="4" t="s">
        <v>64</v>
      </c>
      <c r="B35" s="4" t="s">
        <v>65</v>
      </c>
      <c r="C35" s="4">
        <v>100</v>
      </c>
      <c r="D35" s="4">
        <v>20</v>
      </c>
      <c r="E35" s="4" t="s">
        <v>41</v>
      </c>
      <c r="F35" s="3">
        <f t="shared" si="0"/>
        <v>2000</v>
      </c>
      <c r="J35" s="6" t="str">
        <f t="shared" si="1"/>
        <v>Standard Price</v>
      </c>
    </row>
    <row r="36" spans="1:10" x14ac:dyDescent="0.3">
      <c r="A36" s="6"/>
      <c r="B36" s="6"/>
      <c r="C36" s="6"/>
      <c r="D36" s="8">
        <f>SUM(D2:D35)</f>
        <v>900</v>
      </c>
      <c r="E36" s="6"/>
      <c r="F36" s="8">
        <f>SUM(F2:F35)</f>
        <v>289700</v>
      </c>
    </row>
  </sheetData>
  <autoFilter ref="E1:E36" xr:uid="{D2477149-6008-4623-A5B9-488136D1DC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dcterms:created xsi:type="dcterms:W3CDTF">2025-11-16T06:20:15Z</dcterms:created>
  <dcterms:modified xsi:type="dcterms:W3CDTF">2025-11-16T06:42:17Z</dcterms:modified>
</cp:coreProperties>
</file>