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Assignment 1 - ENTRI/"/>
    </mc:Choice>
  </mc:AlternateContent>
  <xr:revisionPtr revIDLastSave="48" documentId="8_{30E95DAD-B360-4E1F-BD01-3690D64A8049}" xr6:coauthVersionLast="47" xr6:coauthVersionMax="47" xr10:uidLastSave="{91EBB198-B95E-450E-8785-4EBD0992384A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Dataset!$A$1:$K$36</definedName>
    <definedName name="_xlnm.Print_Area" localSheetId="1">Dataset!$A$1:$K$36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H2" i="2"/>
  <c r="E36" i="2"/>
  <c r="G24" i="2"/>
  <c r="G25" i="2"/>
  <c r="G26" i="2"/>
  <c r="G27" i="2"/>
  <c r="G28" i="2"/>
  <c r="G29" i="2"/>
  <c r="G30" i="2"/>
  <c r="G31" i="2"/>
  <c r="G32" i="2"/>
  <c r="G33" i="2"/>
  <c r="G34" i="2"/>
  <c r="G35" i="2"/>
  <c r="G4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" i="2"/>
  <c r="G36" i="2" l="1"/>
  <c r="I2" i="2"/>
  <c r="J2" i="2"/>
</calcChain>
</file>

<file path=xl/sharedStrings.xml><?xml version="1.0" encoding="utf-8"?>
<sst xmlns="http://schemas.openxmlformats.org/spreadsheetml/2006/main" count="163" uniqueCount="114">
  <si>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</si>
  <si>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</si>
  <si>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</si>
  <si>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</si>
  <si>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</si>
  <si>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</si>
  <si>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</si>
  <si>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</si>
  <si>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</si>
  <si>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</si>
  <si>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</si>
  <si>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</si>
  <si>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</si>
  <si>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</si>
  <si>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</si>
  <si>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</si>
  <si>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</si>
  <si>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</si>
  <si>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</si>
  <si>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</si>
  <si>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</si>
  <si>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</si>
  <si>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</si>
  <si>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</si>
  <si>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</si>
  <si>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</si>
  <si>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</si>
  <si>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</si>
  <si>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</si>
  <si>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</si>
  <si>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</si>
  <si>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</si>
  <si>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</si>
  <si>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</si>
  <si>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</si>
  <si>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</si>
  <si>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</si>
  <si>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</si>
  <si>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</si>
  <si>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</si>
  <si>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</si>
  <si>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</si>
  <si>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</si>
  <si>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</si>
  <si>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</si>
  <si>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</si>
  <si>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</si>
  <si>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</si>
  <si>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</si>
  <si>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</si>
  <si>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</si>
  <si>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</si>
  <si>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</si>
  <si>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</si>
  <si>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</si>
  <si>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</si>
  <si>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</si>
  <si>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</si>
  <si>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</si>
  <si>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</si>
  <si>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</si>
  <si>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</si>
  <si>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</si>
  <si>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</si>
  <si>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</si>
  <si>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</si>
  <si>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</si>
  <si>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</si>
  <si>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</si>
  <si>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</si>
  <si>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</si>
  <si>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</si>
  <si>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</si>
  <si>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</si>
  <si>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</si>
  <si>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</si>
  <si>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</si>
  <si>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</si>
  <si>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</si>
  <si>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</si>
  <si>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</si>
  <si>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</si>
  <si>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</si>
  <si>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</si>
  <si>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</si>
  <si>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</si>
  <si>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</si>
  <si>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</si>
  <si>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</si>
  <si>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</si>
  <si>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</si>
  <si>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</si>
  <si>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</si>
  <si>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</si>
  <si>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</si>
  <si>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</si>
  <si>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</si>
  <si>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</si>
  <si>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</si>
  <si>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</si>
  <si>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</si>
  <si>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</si>
  <si>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</si>
  <si>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</si>
  <si>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</si>
  <si>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</si>
  <si>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</si>
  <si>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</si>
  <si>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</si>
  <si>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</si>
  <si>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</si>
  <si>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Min</t>
  </si>
  <si>
    <t>Max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</si>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</sst>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M26" sqref="M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view="pageBreakPreview" topLeftCell="C1" zoomScale="60" zoomScaleNormal="100" workbookViewId="0">
      <selection activeCell="C1" sqref="C1:K37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11" max="11" width="13.33203125" bestFit="1" customWidth="1"/>
    <col min="13" max="13" width="14.109375" customWidth="1"/>
  </cols>
  <sheetData>
    <row r="1" spans="1:11" ht="15.75" customHeight="1" x14ac:dyDescent="0.25">
      <c r="A1" s="8">
        <v>11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109</v>
      </c>
      <c r="H1" s="11" t="s">
        <v>110</v>
      </c>
      <c r="I1" s="11" t="s">
        <v>111</v>
      </c>
      <c r="J1" s="11" t="s">
        <v>112</v>
      </c>
      <c r="K1" s="11" t="s">
        <v>113</v>
      </c>
    </row>
    <row r="2" spans="1:11" ht="15.75" customHeight="1" x14ac:dyDescent="0.25">
      <c r="A2" s="6" t="s">
        <v>22</v>
      </c>
      <c r="B2" s="6" t="s">
        <v>23</v>
      </c>
      <c r="C2" s="6" t="s">
        <v>24</v>
      </c>
      <c r="D2" s="6">
        <v>1000</v>
      </c>
      <c r="E2" s="6">
        <v>30</v>
      </c>
      <c r="F2" s="6" t="s">
        <v>25</v>
      </c>
      <c r="G2" s="6">
        <f>SUM(E2*D2)</f>
        <v>30000</v>
      </c>
      <c r="H2" s="12">
        <f>AVERAGE(D2:D35)</f>
        <v>297.05882352941177</v>
      </c>
      <c r="I2" s="10">
        <f>MIN(G2:G35)</f>
        <v>150</v>
      </c>
      <c r="J2" s="13">
        <f>MAX(G2:G35)</f>
        <v>36000</v>
      </c>
      <c r="K2" s="10" t="str">
        <f>IF(D2&gt;=500,"Higher","Standard Price")</f>
        <v>Higher</v>
      </c>
    </row>
    <row r="3" spans="1:11" ht="15.75" customHeight="1" x14ac:dyDescent="0.25">
      <c r="A3" s="9" t="s">
        <v>26</v>
      </c>
      <c r="B3" s="9" t="s">
        <v>27</v>
      </c>
      <c r="C3" s="9" t="s">
        <v>28</v>
      </c>
      <c r="D3" s="9">
        <v>80</v>
      </c>
      <c r="E3" s="9">
        <v>15</v>
      </c>
      <c r="F3" s="9" t="s">
        <v>29</v>
      </c>
      <c r="G3" s="6">
        <f t="shared" ref="G3:G47" si="0">SUM(E3*D3)</f>
        <v>1200</v>
      </c>
      <c r="K3" s="10" t="str">
        <f t="shared" ref="K3:K35" si="1">IF(D3&gt;=500,"Higher","Standard Price")</f>
        <v>Standard Price</v>
      </c>
    </row>
    <row r="4" spans="1:11" ht="15.75" customHeight="1" x14ac:dyDescent="0.25">
      <c r="A4" s="6" t="s">
        <v>30</v>
      </c>
      <c r="B4" s="6" t="s">
        <v>31</v>
      </c>
      <c r="C4" s="6" t="s">
        <v>32</v>
      </c>
      <c r="D4" s="6">
        <v>130</v>
      </c>
      <c r="E4" s="6">
        <v>40</v>
      </c>
      <c r="F4" s="6" t="s">
        <v>33</v>
      </c>
      <c r="G4" s="6">
        <f t="shared" si="0"/>
        <v>5200</v>
      </c>
      <c r="K4" s="10" t="str">
        <f t="shared" si="1"/>
        <v>Standard Price</v>
      </c>
    </row>
    <row r="5" spans="1:11" ht="15.75" customHeight="1" x14ac:dyDescent="0.25">
      <c r="A5" s="9" t="s">
        <v>34</v>
      </c>
      <c r="B5" s="9" t="s">
        <v>35</v>
      </c>
      <c r="C5" s="9" t="s">
        <v>36</v>
      </c>
      <c r="D5" s="9">
        <v>900</v>
      </c>
      <c r="E5" s="9">
        <v>25</v>
      </c>
      <c r="F5" s="9" t="s">
        <v>25</v>
      </c>
      <c r="G5" s="6">
        <f t="shared" si="0"/>
        <v>22500</v>
      </c>
      <c r="K5" s="10" t="str">
        <f t="shared" si="1"/>
        <v>Higher</v>
      </c>
    </row>
    <row r="6" spans="1:11" ht="15.75" customHeight="1" x14ac:dyDescent="0.25">
      <c r="A6" s="6" t="s">
        <v>37</v>
      </c>
      <c r="B6" s="6" t="s">
        <v>38</v>
      </c>
      <c r="C6" s="6" t="s">
        <v>39</v>
      </c>
      <c r="D6" s="6">
        <v>70</v>
      </c>
      <c r="E6" s="6">
        <v>20</v>
      </c>
      <c r="F6" s="6" t="s">
        <v>40</v>
      </c>
      <c r="G6" s="6">
        <f t="shared" si="0"/>
        <v>1400</v>
      </c>
      <c r="K6" s="10" t="str">
        <f t="shared" si="1"/>
        <v>Standard Price</v>
      </c>
    </row>
    <row r="7" spans="1:11" ht="15.75" customHeight="1" x14ac:dyDescent="0.25">
      <c r="A7" s="9" t="s">
        <v>41</v>
      </c>
      <c r="B7" s="9" t="s">
        <v>42</v>
      </c>
      <c r="C7" s="9" t="s">
        <v>43</v>
      </c>
      <c r="D7" s="9">
        <v>200</v>
      </c>
      <c r="E7" s="9">
        <v>45</v>
      </c>
      <c r="F7" s="9" t="s">
        <v>25</v>
      </c>
      <c r="G7" s="6">
        <f t="shared" si="0"/>
        <v>9000</v>
      </c>
      <c r="K7" s="10" t="str">
        <f t="shared" si="1"/>
        <v>Standard Price</v>
      </c>
    </row>
    <row r="8" spans="1:11" ht="15.75" customHeight="1" x14ac:dyDescent="0.25">
      <c r="A8" s="6" t="s">
        <v>44</v>
      </c>
      <c r="B8" s="6" t="s">
        <v>45</v>
      </c>
      <c r="C8" s="6" t="s">
        <v>46</v>
      </c>
      <c r="D8" s="6">
        <v>30</v>
      </c>
      <c r="E8" s="6">
        <v>5</v>
      </c>
      <c r="F8" s="6" t="s">
        <v>29</v>
      </c>
      <c r="G8" s="6">
        <f t="shared" si="0"/>
        <v>150</v>
      </c>
      <c r="K8" s="10" t="str">
        <f t="shared" si="1"/>
        <v>Standard Price</v>
      </c>
    </row>
    <row r="9" spans="1:11" ht="15.75" customHeight="1" x14ac:dyDescent="0.25">
      <c r="A9" s="9" t="s">
        <v>47</v>
      </c>
      <c r="B9" s="9" t="s">
        <v>48</v>
      </c>
      <c r="C9" s="9" t="s">
        <v>49</v>
      </c>
      <c r="D9" s="9">
        <v>90</v>
      </c>
      <c r="E9" s="9">
        <v>35</v>
      </c>
      <c r="F9" s="9" t="s">
        <v>33</v>
      </c>
      <c r="G9" s="6">
        <f t="shared" si="0"/>
        <v>3150</v>
      </c>
      <c r="K9" s="10" t="str">
        <f t="shared" si="1"/>
        <v>Standard Price</v>
      </c>
    </row>
    <row r="10" spans="1:11" ht="15.75" customHeight="1" x14ac:dyDescent="0.25">
      <c r="A10" s="6" t="s">
        <v>50</v>
      </c>
      <c r="B10" s="6" t="s">
        <v>51</v>
      </c>
      <c r="C10" s="6" t="s">
        <v>52</v>
      </c>
      <c r="D10" s="6">
        <v>500</v>
      </c>
      <c r="E10" s="6">
        <v>50</v>
      </c>
      <c r="F10" s="6" t="s">
        <v>25</v>
      </c>
      <c r="G10" s="6">
        <f t="shared" si="0"/>
        <v>25000</v>
      </c>
      <c r="K10" s="10" t="str">
        <f t="shared" si="1"/>
        <v>Higher</v>
      </c>
    </row>
    <row r="11" spans="1:11" ht="15.75" customHeight="1" x14ac:dyDescent="0.25">
      <c r="A11" s="9" t="s">
        <v>53</v>
      </c>
      <c r="B11" s="9" t="s">
        <v>54</v>
      </c>
      <c r="C11" s="9" t="s">
        <v>55</v>
      </c>
      <c r="D11" s="9">
        <v>130</v>
      </c>
      <c r="E11" s="9">
        <v>10</v>
      </c>
      <c r="F11" s="9" t="s">
        <v>40</v>
      </c>
      <c r="G11" s="6">
        <f t="shared" si="0"/>
        <v>1300</v>
      </c>
      <c r="K11" s="10" t="str">
        <f t="shared" si="1"/>
        <v>Standard Price</v>
      </c>
    </row>
    <row r="12" spans="1:11" ht="15.75" customHeight="1" x14ac:dyDescent="0.25">
      <c r="A12" s="6" t="s">
        <v>56</v>
      </c>
      <c r="B12" s="6" t="s">
        <v>23</v>
      </c>
      <c r="C12" s="6" t="s">
        <v>57</v>
      </c>
      <c r="D12" s="6">
        <v>950</v>
      </c>
      <c r="E12" s="6">
        <v>25</v>
      </c>
      <c r="F12" s="6" t="s">
        <v>25</v>
      </c>
      <c r="G12" s="6">
        <f t="shared" si="0"/>
        <v>23750</v>
      </c>
      <c r="K12" s="10" t="str">
        <f t="shared" si="1"/>
        <v>Higher</v>
      </c>
    </row>
    <row r="13" spans="1:11" ht="15.75" customHeight="1" x14ac:dyDescent="0.25">
      <c r="A13" s="9" t="s">
        <v>58</v>
      </c>
      <c r="B13" s="9" t="s">
        <v>27</v>
      </c>
      <c r="C13" s="9" t="s">
        <v>46</v>
      </c>
      <c r="D13" s="9">
        <v>90</v>
      </c>
      <c r="E13" s="9">
        <v>40</v>
      </c>
      <c r="F13" s="9" t="s">
        <v>29</v>
      </c>
      <c r="G13" s="6">
        <f t="shared" si="0"/>
        <v>3600</v>
      </c>
      <c r="K13" s="10" t="str">
        <f t="shared" si="1"/>
        <v>Standard Price</v>
      </c>
    </row>
    <row r="14" spans="1:11" ht="15.75" customHeight="1" x14ac:dyDescent="0.25">
      <c r="A14" s="6" t="s">
        <v>59</v>
      </c>
      <c r="B14" s="6" t="s">
        <v>31</v>
      </c>
      <c r="C14" s="6" t="s">
        <v>60</v>
      </c>
      <c r="D14" s="6">
        <v>120</v>
      </c>
      <c r="E14" s="6">
        <v>35</v>
      </c>
      <c r="F14" s="6" t="s">
        <v>33</v>
      </c>
      <c r="G14" s="6">
        <f t="shared" si="0"/>
        <v>4200</v>
      </c>
      <c r="K14" s="10" t="str">
        <f t="shared" si="1"/>
        <v>Standard Price</v>
      </c>
    </row>
    <row r="15" spans="1:11" ht="15.75" customHeight="1" x14ac:dyDescent="0.25">
      <c r="A15" s="9" t="s">
        <v>61</v>
      </c>
      <c r="B15" s="9" t="s">
        <v>62</v>
      </c>
      <c r="C15" s="9" t="s">
        <v>63</v>
      </c>
      <c r="D15" s="9">
        <v>150</v>
      </c>
      <c r="E15" s="9">
        <v>15</v>
      </c>
      <c r="F15" s="9" t="s">
        <v>25</v>
      </c>
      <c r="G15" s="6">
        <f t="shared" si="0"/>
        <v>2250</v>
      </c>
      <c r="K15" s="10" t="str">
        <f t="shared" si="1"/>
        <v>Standard Price</v>
      </c>
    </row>
    <row r="16" spans="1:11" ht="15.75" customHeight="1" x14ac:dyDescent="0.25">
      <c r="A16" s="6" t="s">
        <v>64</v>
      </c>
      <c r="B16" s="6" t="s">
        <v>42</v>
      </c>
      <c r="C16" s="6" t="s">
        <v>65</v>
      </c>
      <c r="D16" s="6">
        <v>250</v>
      </c>
      <c r="E16" s="6">
        <v>20</v>
      </c>
      <c r="F16" s="6" t="s">
        <v>25</v>
      </c>
      <c r="G16" s="6">
        <f t="shared" si="0"/>
        <v>5000</v>
      </c>
      <c r="K16" s="10" t="str">
        <f t="shared" si="1"/>
        <v>Standard Price</v>
      </c>
    </row>
    <row r="17" spans="1:11" ht="15.75" customHeight="1" x14ac:dyDescent="0.25">
      <c r="A17" s="9" t="s">
        <v>66</v>
      </c>
      <c r="B17" s="9" t="s">
        <v>67</v>
      </c>
      <c r="C17" s="9" t="s">
        <v>68</v>
      </c>
      <c r="D17" s="9">
        <v>50</v>
      </c>
      <c r="E17" s="9">
        <v>35</v>
      </c>
      <c r="F17" s="9" t="s">
        <v>69</v>
      </c>
      <c r="G17" s="6">
        <f t="shared" si="0"/>
        <v>1750</v>
      </c>
      <c r="K17" s="10" t="str">
        <f t="shared" si="1"/>
        <v>Standard Price</v>
      </c>
    </row>
    <row r="18" spans="1:11" ht="15.75" customHeight="1" x14ac:dyDescent="0.25">
      <c r="A18" s="6" t="s">
        <v>70</v>
      </c>
      <c r="B18" s="6" t="s">
        <v>62</v>
      </c>
      <c r="C18" s="6" t="s">
        <v>71</v>
      </c>
      <c r="D18" s="6">
        <v>160</v>
      </c>
      <c r="E18" s="6">
        <v>15</v>
      </c>
      <c r="F18" s="6" t="s">
        <v>25</v>
      </c>
      <c r="G18" s="6">
        <f t="shared" si="0"/>
        <v>2400</v>
      </c>
      <c r="K18" s="10" t="str">
        <f t="shared" si="1"/>
        <v>Standard Price</v>
      </c>
    </row>
    <row r="19" spans="1:11" ht="15.75" customHeight="1" x14ac:dyDescent="0.25">
      <c r="A19" s="9" t="s">
        <v>72</v>
      </c>
      <c r="B19" s="9" t="s">
        <v>23</v>
      </c>
      <c r="C19" s="9" t="s">
        <v>73</v>
      </c>
      <c r="D19" s="9">
        <v>980</v>
      </c>
      <c r="E19" s="9">
        <v>10</v>
      </c>
      <c r="F19" s="9" t="s">
        <v>25</v>
      </c>
      <c r="G19" s="6">
        <f t="shared" si="0"/>
        <v>9800</v>
      </c>
      <c r="K19" s="10" t="str">
        <f t="shared" si="1"/>
        <v>Higher</v>
      </c>
    </row>
    <row r="20" spans="1:11" ht="15.75" customHeight="1" x14ac:dyDescent="0.25">
      <c r="A20" s="6" t="s">
        <v>74</v>
      </c>
      <c r="B20" s="6" t="s">
        <v>75</v>
      </c>
      <c r="C20" s="6" t="s">
        <v>76</v>
      </c>
      <c r="D20" s="6">
        <v>150</v>
      </c>
      <c r="E20" s="6">
        <v>15</v>
      </c>
      <c r="F20" s="6" t="s">
        <v>29</v>
      </c>
      <c r="G20" s="6">
        <f t="shared" si="0"/>
        <v>2250</v>
      </c>
      <c r="K20" s="10" t="str">
        <f t="shared" si="1"/>
        <v>Standard Price</v>
      </c>
    </row>
    <row r="21" spans="1:11" ht="15.75" customHeight="1" x14ac:dyDescent="0.25">
      <c r="A21" s="9" t="s">
        <v>77</v>
      </c>
      <c r="B21" s="9" t="s">
        <v>78</v>
      </c>
      <c r="C21" s="9" t="s">
        <v>79</v>
      </c>
      <c r="D21" s="9">
        <v>200</v>
      </c>
      <c r="E21" s="9">
        <v>10</v>
      </c>
      <c r="F21" s="9" t="s">
        <v>40</v>
      </c>
      <c r="G21" s="6">
        <f t="shared" si="0"/>
        <v>2000</v>
      </c>
      <c r="K21" s="10" t="str">
        <f t="shared" si="1"/>
        <v>Standard Price</v>
      </c>
    </row>
    <row r="22" spans="1:11" ht="15.75" customHeight="1" x14ac:dyDescent="0.25">
      <c r="A22" s="6" t="s">
        <v>80</v>
      </c>
      <c r="B22" s="6" t="s">
        <v>81</v>
      </c>
      <c r="C22" s="6" t="s">
        <v>82</v>
      </c>
      <c r="D22" s="6">
        <v>700</v>
      </c>
      <c r="E22" s="6">
        <v>50</v>
      </c>
      <c r="F22" s="6" t="s">
        <v>25</v>
      </c>
      <c r="G22" s="6">
        <f t="shared" si="0"/>
        <v>35000</v>
      </c>
      <c r="K22" s="10" t="str">
        <f t="shared" si="1"/>
        <v>Higher</v>
      </c>
    </row>
    <row r="23" spans="1:11" ht="15.75" customHeight="1" x14ac:dyDescent="0.25">
      <c r="A23" s="9" t="s">
        <v>83</v>
      </c>
      <c r="B23" s="9" t="s">
        <v>84</v>
      </c>
      <c r="C23" s="9" t="s">
        <v>85</v>
      </c>
      <c r="D23" s="9">
        <v>80</v>
      </c>
      <c r="E23" s="9">
        <v>20</v>
      </c>
      <c r="F23" s="9" t="s">
        <v>33</v>
      </c>
      <c r="G23" s="6">
        <f t="shared" si="0"/>
        <v>1600</v>
      </c>
      <c r="K23" s="10" t="str">
        <f t="shared" si="1"/>
        <v>Standard Price</v>
      </c>
    </row>
    <row r="24" spans="1:11" ht="15.75" customHeight="1" x14ac:dyDescent="0.25">
      <c r="A24" s="6" t="s">
        <v>86</v>
      </c>
      <c r="B24" s="6" t="s">
        <v>87</v>
      </c>
      <c r="C24" s="6" t="s">
        <v>88</v>
      </c>
      <c r="D24" s="6">
        <v>150</v>
      </c>
      <c r="E24" s="6">
        <v>30</v>
      </c>
      <c r="F24" s="6" t="s">
        <v>25</v>
      </c>
      <c r="G24" s="6">
        <f t="shared" si="0"/>
        <v>4500</v>
      </c>
      <c r="K24" s="10" t="str">
        <f t="shared" si="1"/>
        <v>Standard Price</v>
      </c>
    </row>
    <row r="25" spans="1:11" ht="15.75" customHeight="1" x14ac:dyDescent="0.25">
      <c r="A25" s="9" t="s">
        <v>66</v>
      </c>
      <c r="B25" s="9" t="s">
        <v>67</v>
      </c>
      <c r="C25" s="9" t="s">
        <v>68</v>
      </c>
      <c r="D25" s="9">
        <v>50</v>
      </c>
      <c r="E25" s="9">
        <v>35</v>
      </c>
      <c r="F25" s="9" t="s">
        <v>69</v>
      </c>
      <c r="G25" s="6">
        <f t="shared" si="0"/>
        <v>1750</v>
      </c>
      <c r="K25" s="10" t="str">
        <f t="shared" si="1"/>
        <v>Standard Price</v>
      </c>
    </row>
    <row r="26" spans="1:11" ht="15.75" customHeight="1" x14ac:dyDescent="0.25">
      <c r="A26" s="6" t="s">
        <v>89</v>
      </c>
      <c r="B26" s="6" t="s">
        <v>35</v>
      </c>
      <c r="C26" s="6" t="s">
        <v>90</v>
      </c>
      <c r="D26" s="6">
        <v>800</v>
      </c>
      <c r="E26" s="6">
        <v>45</v>
      </c>
      <c r="F26" s="6" t="s">
        <v>25</v>
      </c>
      <c r="G26" s="6">
        <f t="shared" si="0"/>
        <v>36000</v>
      </c>
      <c r="K26" s="10" t="str">
        <f t="shared" si="1"/>
        <v>Higher</v>
      </c>
    </row>
    <row r="27" spans="1:11" ht="15.75" customHeight="1" x14ac:dyDescent="0.25">
      <c r="A27" s="9" t="s">
        <v>91</v>
      </c>
      <c r="B27" s="9" t="s">
        <v>75</v>
      </c>
      <c r="C27" s="9" t="s">
        <v>92</v>
      </c>
      <c r="D27" s="9">
        <v>130</v>
      </c>
      <c r="E27" s="9">
        <v>25</v>
      </c>
      <c r="F27" s="9" t="s">
        <v>29</v>
      </c>
      <c r="G27" s="6">
        <f t="shared" si="0"/>
        <v>3250</v>
      </c>
      <c r="K27" s="10" t="str">
        <f t="shared" si="1"/>
        <v>Standard Price</v>
      </c>
    </row>
    <row r="28" spans="1:11" ht="15.75" customHeight="1" x14ac:dyDescent="0.25">
      <c r="A28" s="6" t="s">
        <v>93</v>
      </c>
      <c r="B28" s="6" t="s">
        <v>48</v>
      </c>
      <c r="C28" s="6" t="s">
        <v>94</v>
      </c>
      <c r="D28" s="6">
        <v>400</v>
      </c>
      <c r="E28" s="6">
        <v>40</v>
      </c>
      <c r="F28" s="6" t="s">
        <v>33</v>
      </c>
      <c r="G28" s="6">
        <f t="shared" si="0"/>
        <v>16000</v>
      </c>
      <c r="K28" s="10" t="str">
        <f t="shared" si="1"/>
        <v>Standard Price</v>
      </c>
    </row>
    <row r="29" spans="1:11" ht="15.75" customHeight="1" x14ac:dyDescent="0.25">
      <c r="A29" s="9" t="s">
        <v>64</v>
      </c>
      <c r="B29" s="9" t="s">
        <v>42</v>
      </c>
      <c r="C29" s="9" t="s">
        <v>65</v>
      </c>
      <c r="D29" s="9">
        <v>230</v>
      </c>
      <c r="E29" s="9">
        <v>20</v>
      </c>
      <c r="F29" s="9" t="s">
        <v>25</v>
      </c>
      <c r="G29" s="6">
        <f t="shared" si="0"/>
        <v>4600</v>
      </c>
      <c r="K29" s="10" t="str">
        <f t="shared" si="1"/>
        <v>Standard Price</v>
      </c>
    </row>
    <row r="30" spans="1:11" ht="15.75" customHeight="1" x14ac:dyDescent="0.25">
      <c r="A30" s="6" t="s">
        <v>95</v>
      </c>
      <c r="B30" s="6" t="s">
        <v>96</v>
      </c>
      <c r="C30" s="6" t="s">
        <v>97</v>
      </c>
      <c r="D30" s="6">
        <v>60</v>
      </c>
      <c r="E30" s="6">
        <v>30</v>
      </c>
      <c r="F30" s="6" t="s">
        <v>29</v>
      </c>
      <c r="G30" s="6">
        <f t="shared" si="0"/>
        <v>1800</v>
      </c>
      <c r="K30" s="10" t="str">
        <f t="shared" si="1"/>
        <v>Standard Price</v>
      </c>
    </row>
    <row r="31" spans="1:11" ht="15.75" customHeight="1" x14ac:dyDescent="0.25">
      <c r="A31" s="9" t="s">
        <v>98</v>
      </c>
      <c r="B31" s="9" t="s">
        <v>99</v>
      </c>
      <c r="C31" s="9" t="s">
        <v>100</v>
      </c>
      <c r="D31" s="9">
        <v>40</v>
      </c>
      <c r="E31" s="9">
        <v>10</v>
      </c>
      <c r="F31" s="9" t="s">
        <v>33</v>
      </c>
      <c r="G31" s="6">
        <f t="shared" si="0"/>
        <v>400</v>
      </c>
      <c r="K31" s="10" t="str">
        <f t="shared" si="1"/>
        <v>Standard Price</v>
      </c>
    </row>
    <row r="32" spans="1:11" ht="15.75" customHeight="1" x14ac:dyDescent="0.25">
      <c r="A32" s="6" t="s">
        <v>101</v>
      </c>
      <c r="B32" s="6" t="s">
        <v>87</v>
      </c>
      <c r="C32" s="6" t="s">
        <v>102</v>
      </c>
      <c r="D32" s="6">
        <v>130</v>
      </c>
      <c r="E32" s="6">
        <v>5</v>
      </c>
      <c r="F32" s="6" t="s">
        <v>25</v>
      </c>
      <c r="G32" s="6">
        <f t="shared" si="0"/>
        <v>650</v>
      </c>
      <c r="K32" s="10" t="str">
        <f t="shared" si="1"/>
        <v>Standard Price</v>
      </c>
    </row>
    <row r="33" spans="1:11" ht="15.75" customHeight="1" x14ac:dyDescent="0.25">
      <c r="A33" s="9" t="s">
        <v>103</v>
      </c>
      <c r="B33" s="9" t="s">
        <v>104</v>
      </c>
      <c r="C33" s="9" t="s">
        <v>105</v>
      </c>
      <c r="D33" s="9">
        <v>50</v>
      </c>
      <c r="E33" s="9">
        <v>50</v>
      </c>
      <c r="F33" s="9" t="s">
        <v>29</v>
      </c>
      <c r="G33" s="6">
        <f t="shared" si="0"/>
        <v>2500</v>
      </c>
      <c r="K33" s="10" t="str">
        <f t="shared" si="1"/>
        <v>Standard Price</v>
      </c>
    </row>
    <row r="34" spans="1:11" ht="15.75" customHeight="1" x14ac:dyDescent="0.25">
      <c r="A34" s="6" t="s">
        <v>56</v>
      </c>
      <c r="B34" s="6" t="s">
        <v>23</v>
      </c>
      <c r="C34" s="6" t="s">
        <v>57</v>
      </c>
      <c r="D34" s="6">
        <v>950</v>
      </c>
      <c r="E34" s="6">
        <v>25</v>
      </c>
      <c r="F34" s="6" t="s">
        <v>25</v>
      </c>
      <c r="G34" s="6">
        <f t="shared" si="0"/>
        <v>23750</v>
      </c>
      <c r="K34" s="10" t="str">
        <f t="shared" si="1"/>
        <v>Higher</v>
      </c>
    </row>
    <row r="35" spans="1:11" ht="15.75" customHeight="1" x14ac:dyDescent="0.25">
      <c r="A35" s="9" t="s">
        <v>106</v>
      </c>
      <c r="B35" s="9" t="s">
        <v>107</v>
      </c>
      <c r="C35" s="9" t="s">
        <v>108</v>
      </c>
      <c r="D35" s="9">
        <v>100</v>
      </c>
      <c r="E35" s="9">
        <v>20</v>
      </c>
      <c r="F35" s="9" t="s">
        <v>69</v>
      </c>
      <c r="G35" s="6">
        <f t="shared" si="0"/>
        <v>2000</v>
      </c>
      <c r="K35" s="10" t="str">
        <f t="shared" si="1"/>
        <v>Standard Price</v>
      </c>
    </row>
    <row r="36" spans="1:11" ht="15.75" customHeight="1" x14ac:dyDescent="0.25">
      <c r="A36" s="10"/>
      <c r="B36" s="10"/>
      <c r="C36" s="10"/>
      <c r="D36" s="10"/>
      <c r="E36" s="7">
        <f>SUM(E2:E35)</f>
        <v>900</v>
      </c>
      <c r="F36" s="10"/>
      <c r="G36" s="7">
        <f>SUM(G2:G35)</f>
        <v>289700</v>
      </c>
    </row>
    <row r="37" spans="1:11" ht="15.75" customHeight="1" x14ac:dyDescent="0.25">
      <c r="G37" s="5"/>
    </row>
    <row r="38" spans="1:11" ht="15.75" customHeight="1" x14ac:dyDescent="0.25">
      <c r="G38" s="5"/>
    </row>
    <row r="39" spans="1:11" ht="15.75" customHeight="1" x14ac:dyDescent="0.25">
      <c r="G39" s="5"/>
    </row>
    <row r="40" spans="1:11" ht="15.75" customHeight="1" x14ac:dyDescent="0.25">
      <c r="G40" s="5"/>
    </row>
    <row r="41" spans="1:11" ht="15.75" customHeight="1" x14ac:dyDescent="0.25">
      <c r="G41" s="5"/>
    </row>
    <row r="42" spans="1:11" ht="15.75" customHeight="1" x14ac:dyDescent="0.25">
      <c r="G42" s="5"/>
    </row>
    <row r="43" spans="1:11" ht="15.75" customHeight="1" x14ac:dyDescent="0.25">
      <c r="G43" s="5"/>
    </row>
    <row r="44" spans="1:11" ht="15.75" customHeight="1" x14ac:dyDescent="0.25">
      <c r="G44" s="5"/>
    </row>
    <row r="45" spans="1:11" ht="15.75" customHeight="1" x14ac:dyDescent="0.25">
      <c r="G45" s="5"/>
    </row>
    <row r="46" spans="1:11" ht="15.75" customHeight="1" x14ac:dyDescent="0.25">
      <c r="G46" s="5"/>
    </row>
    <row r="47" spans="1:11" ht="15.75" customHeight="1" x14ac:dyDescent="0.25">
      <c r="G47" s="5">
        <f t="shared" si="0"/>
        <v>0</v>
      </c>
    </row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36" xr:uid="{00000000-0001-0000-0100-000000000000}"/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Dataset</vt:lpstr>
      <vt:lpstr>Dataset!Print_Area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cp:lastPrinted>2026-05-06T11:35:36Z</cp:lastPrinted>
  <dcterms:created xsi:type="dcterms:W3CDTF">2025-11-09T18:48:11Z</dcterms:created>
  <dcterms:modified xsi:type="dcterms:W3CDTF">2026-05-06T11:35:36Z</dcterms:modified>
</cp:coreProperties>
</file>